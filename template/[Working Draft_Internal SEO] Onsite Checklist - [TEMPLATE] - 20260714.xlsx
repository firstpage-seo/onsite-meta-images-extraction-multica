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eyword Allocation (EN)" sheetId="2" r:id="rId6"/>
    <sheet state="visible" name="SEO Implementation Checklist" sheetId="3" r:id="rId7"/>
    <sheet state="visible" name="SV" sheetId="4" r:id="rId8"/>
    <sheet state="visible" name="Priorities &amp; Status" sheetId="5" r:id="rId9"/>
    <sheet state="visible" name="10. Robots.txt" sheetId="6" r:id="rId10"/>
    <sheet state="visible" name="7. GSC Checks" sheetId="7" r:id="rId11"/>
    <sheet state="visible" name="9. Implement HTTPS Protocol" sheetId="8" r:id="rId12"/>
    <sheet state="visible" name="11. Sitemap" sheetId="9" r:id="rId13"/>
    <sheet state="visible" name="12. Robots meta tags" sheetId="10" r:id="rId14"/>
    <sheet state="visible" name="13. Canonical tag" sheetId="11" r:id="rId15"/>
    <sheet state="visible" name="17.1 Page titles - Missing" sheetId="12" r:id="rId16"/>
    <sheet state="visible" name="17.2 Page titles - Duplicate" sheetId="13" r:id="rId17"/>
    <sheet state="visible" name="17.3 Page Titles - Too Long" sheetId="14" r:id="rId18"/>
    <sheet state="visible" name="17.4 Page Titles - Multiple" sheetId="15" r:id="rId19"/>
    <sheet state="visible" name="18. Descriptions - Missing" sheetId="16" r:id="rId20"/>
    <sheet state="visible" name="18.2 Descriptions - Duplicate" sheetId="17" r:id="rId21"/>
    <sheet state="visible" name="18.3 Descriptions - Too Long" sheetId="18" r:id="rId22"/>
    <sheet state="visible" name="19.1 H1 - Missing" sheetId="19" r:id="rId23"/>
    <sheet state="visible" name="19.2 H1 - Duplicate" sheetId="20" r:id="rId24"/>
    <sheet state="visible" name="19.3 H1 - Multiple" sheetId="21" r:id="rId25"/>
    <sheet state="visible" name="20.1 Image - Alt Text Missing" sheetId="22" r:id="rId26"/>
    <sheet state="visible" name="20.2 Image - Oversize" sheetId="23" r:id="rId27"/>
    <sheet state="visible" name="21.1 Duplicate content - Extern" sheetId="24" r:id="rId28"/>
    <sheet state="visible" name="21.2 Duplicate content - Intern" sheetId="25" r:id="rId29"/>
    <sheet state="visible" name="22 Content suggestions (SEO)" sheetId="26" r:id="rId30"/>
    <sheet state="visible" name="34. AI Visibility Audit" sheetId="27" r:id="rId31"/>
    <sheet state="visible" name="33. AI Crawler Directives (GEO)" sheetId="28" r:id="rId32"/>
    <sheet state="visible" name="35. Content Optimisation for GE" sheetId="29" r:id="rId33"/>
    <sheet state="visible" name="36. Technical GEO" sheetId="30" r:id="rId34"/>
    <sheet state="visible" name="23. Rich Snippets (GEO)" sheetId="31" r:id="rId35"/>
    <sheet state="visible" name="24. Internal linking" sheetId="32" r:id="rId36"/>
    <sheet state="visible" name="24.6 Redirect Chains" sheetId="33" r:id="rId37"/>
    <sheet state="visible" name="24.7 Orphan URLs" sheetId="34" r:id="rId38"/>
    <sheet state="visible" name="24.8 Broken Internal Links" sheetId="35" r:id="rId39"/>
    <sheet state="visible" name="25. Crawling Issues" sheetId="36" r:id="rId40"/>
    <sheet state="visible" name="26.1 URL best practices" sheetId="37" r:id="rId41"/>
    <sheet state="visible" name="26.2 Parameters" sheetId="38" r:id="rId42"/>
    <sheet state="visible" name="26.3 Underscores" sheetId="39" r:id="rId43"/>
    <sheet state="visible" name="26.4 Uppercase" sheetId="40" r:id="rId44"/>
    <sheet state="visible" name="26.5 Multiple Slashes" sheetId="41" r:id="rId45"/>
    <sheet state="visible" name="27.1 404s" sheetId="42" r:id="rId46"/>
    <sheet state="visible" name="27.2 5xx" sheetId="43" r:id="rId47"/>
    <sheet state="visible" name="27.3 302s" sheetId="44" r:id="rId48"/>
    <sheet state="visible" name="27.5 Competitor 404s" sheetId="45" r:id="rId49"/>
    <sheet state="visible" name="28. Page speed" sheetId="46" r:id="rId50"/>
    <sheet state="visible" name="28.4 CWV" sheetId="47" r:id="rId51"/>
    <sheet state="visible" name="29. Local Search" sheetId="48" r:id="rId52"/>
    <sheet state="visible" name="31. Backlink profile" sheetId="49" r:id="rId53"/>
    <sheet state="visible" name="ItemsSection" sheetId="50" r:id="rId54"/>
    <sheet state="visible" name="Additions  Removals" sheetId="51" r:id="rId55"/>
  </sheets>
  <definedNames>
    <definedName name="_xlchart.v1.6">Summary!$D$7:$D$13</definedName>
    <definedName name="_xlchart.v1.3">Summary!$D$7:$D$13</definedName>
    <definedName name="_xlchart.v1.20">Summary!$E$7:$E$14</definedName>
    <definedName name="_xlchart.v1.1">Summary!$E$6</definedName>
    <definedName name="_xlchart.v1.19">Summary!$E$6</definedName>
    <definedName name="_xlchart.v1.14">Summary!$E$7:$E$14</definedName>
    <definedName name="_xlchart.v1.16">Summary!$E$6</definedName>
    <definedName name="_xlchart.v1.15">Summary!$D$7:$D$13</definedName>
    <definedName name="_xlchart.v1.12">Summary!$D$7:$D$13</definedName>
    <definedName name="_xlchart.v1.2">Summary!$E$7:$E$14</definedName>
    <definedName name="_xlchart.v1.0">Summary!$D$7:$D$13</definedName>
    <definedName name="_xlchart.v1.10">Summary!$E$6</definedName>
    <definedName name="_xlchart.v1.7">Summary!$E$6</definedName>
    <definedName name="_xlchart.v1.5">Summary!$E$7:$E$14</definedName>
    <definedName name="_xlchart.v1.11">Summary!$E$7:$E$14</definedName>
    <definedName name="_xlchart.v1.9">Summary!$D$7:$D$13</definedName>
    <definedName name="_xlchart.v1.13">Summary!$E$6</definedName>
    <definedName name="_xlchart.v1.8">Summary!$E$7:$E$14</definedName>
    <definedName name="_xlchart.v1.18">Summary!$D$7:$D$13</definedName>
    <definedName name="_xlchart.v1.4">Summary!$E$6</definedName>
    <definedName name="_xlchart.v1.17">Summary!$E$7:$E$14</definedName>
  </definedNames>
  <calcPr/>
</workbook>
</file>

<file path=xl/sharedStrings.xml><?xml version="1.0" encoding="utf-8"?>
<sst xmlns="http://schemas.openxmlformats.org/spreadsheetml/2006/main" count="3102" uniqueCount="538">
  <si>
    <t>CLIENT SEO Audit Summary</t>
  </si>
  <si>
    <t>Introduction
The purpose of this audit is to identify any existing problems that may be interfering with how search engines crawl, index and surface content.
The site has been assessed for 70 potential issues across the following four pillars:
 • Crawling
 • Content
 • Technical
 • Local
Following a diagnosis of the problem, we have specified how each issue relates to your website and what steps need to be taken to remedy the situation.
First Page recognises that it's not always possible to implement all recommendations at once due to technical and resource constraints. To this end, each issue has been assigned a priority weighting ranging from critical (high) to low impact (low). We have also specified which party will be responsible for carrying out the necessary changes.
Please note: These recommendations will require further discussion with your technical and/or marketing teams to assess their feasibility. Alternative recommendations that fall outside the scope of this document may also need to be discussed.</t>
  </si>
  <si>
    <r>
      <rPr>
        <rFont val="Proxima Nova"/>
        <b/>
        <color rgb="FF353744"/>
        <sz val="6.0"/>
      </rPr>
      <t xml:space="preserve">
</t>
    </r>
    <r>
      <rPr>
        <rFont val="Proxima Nova"/>
        <b/>
        <color rgb="FF353744"/>
        <sz val="11.0"/>
      </rPr>
      <t>Initial Findings &amp; Insights</t>
    </r>
    <r>
      <rPr>
        <rFont val="Proxima Nova"/>
        <b/>
        <color rgb="FF353744"/>
        <sz val="6.0"/>
      </rPr>
      <t xml:space="preserve">
</t>
    </r>
    <r>
      <rPr>
        <rFont val="Proxima Nova"/>
        <b val="0"/>
        <color rgb="FF353744"/>
        <sz val="11.0"/>
      </rPr>
      <t xml:space="preserve">Please refer to the radar chart below for a performance rating across each of the pillars, with 100% being a perfect score.
</t>
    </r>
  </si>
  <si>
    <r>
      <rPr>
        <rFont val="Proxima Nova"/>
        <b/>
        <color rgb="FF353744"/>
        <sz val="12.0"/>
      </rPr>
      <t xml:space="preserve">Initial Findings &amp; Insights: 
</t>
    </r>
    <r>
      <rPr>
        <rFont val="Proxima Nova"/>
        <color rgb="FF353744"/>
        <sz val="12.0"/>
      </rPr>
      <t xml:space="preserve">Please refer to the radar chart below for a performance rating across each of the pillars, with 100% being a perfect score.
</t>
    </r>
  </si>
  <si>
    <t>SEO Pillar</t>
  </si>
  <si>
    <t>Score</t>
  </si>
  <si>
    <t>Tracking</t>
  </si>
  <si>
    <r>
      <rPr>
        <rFont val="Proxima Nova"/>
        <b/>
        <color rgb="FF353744"/>
        <sz val="12.0"/>
      </rPr>
      <t xml:space="preserve">WIP Findings &amp; Insights: 
</t>
    </r>
    <r>
      <rPr>
        <rFont val="Proxima Nova"/>
        <color rgb="FF353744"/>
        <sz val="12.0"/>
      </rPr>
      <t xml:space="preserve">Please refer to the radar chart below for a performance rating across each of the pillars, with 100% being a perfect score.
</t>
    </r>
  </si>
  <si>
    <t xml:space="preserve"> Keyword Allocation</t>
  </si>
  <si>
    <t>Current Position</t>
  </si>
  <si>
    <t>Ranking URL</t>
  </si>
  <si>
    <t>Page URL:</t>
  </si>
  <si>
    <t>Old Title:</t>
  </si>
  <si>
    <t>NEW Title:</t>
  </si>
  <si>
    <t>Keywords:</t>
  </si>
  <si>
    <t xml:space="preserve">SEO and GEO Audit Checklist </t>
  </si>
  <si>
    <t>Delete Unused Tabs</t>
  </si>
  <si>
    <t>#</t>
  </si>
  <si>
    <t>ITEM</t>
  </si>
  <si>
    <t>Initial Check</t>
  </si>
  <si>
    <t>Detailed Tab Links / Specific Instructions</t>
  </si>
  <si>
    <t>Onsite Type</t>
  </si>
  <si>
    <t>Notes/ Tools</t>
  </si>
  <si>
    <t>Pre-Check</t>
  </si>
  <si>
    <t>Initial SEO Metrics</t>
  </si>
  <si>
    <t>BENCHMARK REPORT IN SENTR</t>
  </si>
  <si>
    <t>✔</t>
  </si>
  <si>
    <t>No begin onsite until benchmark report is added by AM</t>
  </si>
  <si>
    <t>IS DOMAIN/COUNTRY/CMS/CONFIG suitable for achieving SEO goals?</t>
  </si>
  <si>
    <t>Check if domain matches country (GMB + location) and CMS is editable</t>
  </si>
  <si>
    <t>CMS</t>
  </si>
  <si>
    <t>WordPress</t>
  </si>
  <si>
    <t>Domain Authority</t>
  </si>
  <si>
    <t>https://moz.com/domain-analysis</t>
  </si>
  <si>
    <t>Number of Referring Domains</t>
  </si>
  <si>
    <t>https://ahrefs.com/backlink-checker</t>
  </si>
  <si>
    <t>Number of Indexed Pages</t>
  </si>
  <si>
    <t>Use site: search in Google. site:example.com</t>
  </si>
  <si>
    <t>Does the client need a separate Traffic Drop Investigation</t>
  </si>
  <si>
    <t>NA</t>
  </si>
  <si>
    <t>AM please create separate task</t>
  </si>
  <si>
    <t>Before You Start - Check All Necessary Logins + Setup</t>
  </si>
  <si>
    <t>All Google Logins: GSC, GTM + GA4</t>
  </si>
  <si>
    <t>Install GA4</t>
  </si>
  <si>
    <t>https://support.google.com/analytics/answer/1008080?hl=en</t>
  </si>
  <si>
    <t>Install &amp; Set up GSC</t>
  </si>
  <si>
    <t>https://support.google.com/webmasters/answer/34592?hl=en</t>
  </si>
  <si>
    <t>GA links to GSC</t>
  </si>
  <si>
    <t>GEO Targeting set up?</t>
  </si>
  <si>
    <t>CMS access</t>
  </si>
  <si>
    <t>Cpanel</t>
  </si>
  <si>
    <t>Full Site Backup Before Initial Onsite (Begin Onsite)</t>
  </si>
  <si>
    <t>Files - All Files Backup (Use FTP/SFTP to download all Files/Folders), Upload to Google Drive</t>
  </si>
  <si>
    <t>https://wordpress.org/plugins/updraftplus/</t>
  </si>
  <si>
    <t>Database - All Database Backup (Use phpMyAdmin to generate SQL), Upload to Google Drive</t>
  </si>
  <si>
    <t>https://wordpress.org/support/article/backing-up-your-database/</t>
  </si>
  <si>
    <t>Keyword</t>
  </si>
  <si>
    <t>Keyword research</t>
  </si>
  <si>
    <t>https://moz.com/learn/seo/what-is-keyword-research</t>
  </si>
  <si>
    <t>Keyword allocation</t>
  </si>
  <si>
    <t>Define target pages and allocate a cluster of KWs (2 - 10 to each)</t>
  </si>
  <si>
    <t>Does the client need a separate Keyword Ranking Drop Investigation?</t>
  </si>
  <si>
    <t>4. Keyword Drop</t>
  </si>
  <si>
    <t>Prompt research completed</t>
  </si>
  <si>
    <t>GEO</t>
  </si>
  <si>
    <t>Prompt allocation to URLs completed</t>
  </si>
  <si>
    <t>Site Architecture - add on new tab after keyword allocation</t>
  </si>
  <si>
    <t>Can we add a new page?</t>
  </si>
  <si>
    <t>Can we add a new header menu item under the existing header menu?</t>
  </si>
  <si>
    <r>
      <rPr>
        <rFont val="&quot;Proxima Nova&quot;, Arial"/>
        <color rgb="FF00225D"/>
        <sz val="11.0"/>
      </rPr>
      <t xml:space="preserve">Can we add a new submenu item under an existing header menu </t>
    </r>
    <r>
      <rPr>
        <rFont val="&quot;Proxima Nova&quot;, Arial"/>
        <b/>
        <color rgb="FF00225D"/>
        <sz val="11.0"/>
      </rPr>
      <t>item</t>
    </r>
    <r>
      <rPr>
        <rFont val="&quot;Proxima Nova&quot;, Arial"/>
        <color rgb="FF00225D"/>
        <sz val="11.0"/>
      </rPr>
      <t>?</t>
    </r>
  </si>
  <si>
    <t>Can we add an Accordion menu without having a design issue?</t>
  </si>
  <si>
    <t>Can we add SEO Title, Descriptions and H tags without having a design issue?</t>
  </si>
  <si>
    <t>Can we add SEO Title, Descriptions and H tags without having a structural issue in the code?</t>
  </si>
  <si>
    <t xml:space="preserve">Can we add a new category page? </t>
  </si>
  <si>
    <t>How do GTM code placements look? Have they been placed under &lt;head&gt; and &lt;body&gt; tags?</t>
  </si>
  <si>
    <t>Security</t>
  </si>
  <si>
    <t>Does the site have a security plugin/firewall active? Up-to-date plugins?</t>
  </si>
  <si>
    <t>For WP - Wordfence etc, WIX/Shopify fine. Custom - use hosting firewall.</t>
  </si>
  <si>
    <t>https://support.google.com/websearch/answer/190597?hl=en</t>
  </si>
  <si>
    <t>https://support.google.com/webmasters/answer/2721435?hl=en&amp;ref_topic=4596795</t>
  </si>
  <si>
    <t>Crawling</t>
  </si>
  <si>
    <t>GOOGLE &amp; BING SEARCH CONSOLE CHECKS</t>
  </si>
  <si>
    <t>Keyword Cannibalization Check (GSC &gt; exact keyword query &gt; check multiple URLs)</t>
  </si>
  <si>
    <t>7. GSC Checks</t>
  </si>
  <si>
    <t>Low Hanging Fruit Pages (GSC &gt; queries that rank 4-20)</t>
  </si>
  <si>
    <t>Any high impressions and positioning but low click pages? (quick fix titles and descriptions)</t>
  </si>
  <si>
    <t>Are there any URLs indexed that shouldn't be (GSC &gt; tags pages?)</t>
  </si>
  <si>
    <t>Are there any URLs that should be indexed but aren't? (GSC &gt; not indexed pages)</t>
  </si>
  <si>
    <t>Any outdated content? (GSC &gt; date filter 28 days &gt; query filter:  2022)</t>
  </si>
  <si>
    <t>AI visibility check on owned tools l Key takeaways</t>
  </si>
  <si>
    <t>Mobile checks</t>
  </si>
  <si>
    <r>
      <rPr>
        <rFont val="Proxima Nova"/>
        <color rgb="FF000000"/>
        <sz val="11.0"/>
      </rPr>
      <t xml:space="preserve">Has the site been confirmed mobile friendly using Google's tool?: </t>
    </r>
    <r>
      <rPr>
        <rFont val="Proxima Nova"/>
        <color rgb="FF1155CC"/>
        <sz val="11.0"/>
        <u/>
      </rPr>
      <t>https://search.google.com/test/mobile-friendly</t>
    </r>
  </si>
  <si>
    <t>8. Mobile Checks</t>
  </si>
  <si>
    <t>Is all desktop content visible on mobile?</t>
  </si>
  <si>
    <t xml:space="preserve">Are there any mobile UX concerns? </t>
  </si>
  <si>
    <t>Is the site responsive? (Exit full screen and resize it to test)</t>
  </si>
  <si>
    <t>Does the website avoid interstitials on mobile? (no popups!)</t>
  </si>
  <si>
    <t xml:space="preserve">Mobile Issues in GSC? </t>
  </si>
  <si>
    <t>Does the client need a separate UX/UI audit?</t>
  </si>
  <si>
    <t>Implement HTTPS Protocol</t>
  </si>
  <si>
    <t>http vs https (Insecure Content Detected?) - Screaming Frog Insecure Content</t>
  </si>
  <si>
    <t>9. Implement HTTPS Protocol</t>
  </si>
  <si>
    <t>MIxed Content</t>
  </si>
  <si>
    <t>www vs non www</t>
  </si>
  <si>
    <t>Robots.txt configuration</t>
  </si>
  <si>
    <t>Does a robots.txt document exist?</t>
  </si>
  <si>
    <t>10. Robots.txt</t>
  </si>
  <si>
    <t>Are sections of the site that we want indexed, being disallowed with robots.txt?</t>
  </si>
  <si>
    <t>Are disallow blocks in place for URLs that Google shouldn't be crawling?</t>
  </si>
  <si>
    <t>Are we allowing bot access to CSS and JS documents?</t>
  </si>
  <si>
    <t>Are the following pages disallow? shopping carts, thank you, admin, duplicate content, account pages.</t>
  </si>
  <si>
    <t>Is the robots.txt called robots.txt, and not ROBOTS.TXT?</t>
  </si>
  <si>
    <t>Is there a link in the robots.txt file to the sitemap index/sitemap?</t>
  </si>
  <si>
    <t>AI Crawler Directives (robots.txt/llms.txt)</t>
  </si>
  <si>
    <t>Is there a strategy for AI crawlers? (allow vs block per bot)</t>
  </si>
  <si>
    <t>33. AI Crawler Directives (GEO)</t>
  </si>
  <si>
    <t>GPTBot, ClaudeBot, Google-Extended, PerplexityBot, Bytespider, Meta-ExternalAgent</t>
  </si>
  <si>
    <t>GPTBot (OpenAI) - allowed or blocked intentionally?</t>
  </si>
  <si>
    <t>User-agent: GPTBot</t>
  </si>
  <si>
    <t>ClaudeBot (Anthropic) - allowed or blocked intentionally?</t>
  </si>
  <si>
    <t>User-agent: ClaudeBot</t>
  </si>
  <si>
    <t>Google-Extended - allowed or blocked intentionally?</t>
  </si>
  <si>
    <t>Controls AI training for Gemini</t>
  </si>
  <si>
    <t>PerplexityBot - allowed or blocked intentionally?</t>
  </si>
  <si>
    <t>User-agent: PerplexityBot</t>
  </si>
  <si>
    <t>OAI-SearchBot (OpenAI search) - allowed or blocked?</t>
  </si>
  <si>
    <t>Separate from GPTBot, used for real-time search</t>
  </si>
  <si>
    <t>Is a wildcard User-agent: * Disallow: / accidentally blocking AI bots?</t>
  </si>
  <si>
    <t>Common issue , verify explicitly</t>
  </si>
  <si>
    <t>llms.txt file in place? (optional, emerging standard)</t>
  </si>
  <si>
    <t>Not yet widely adopted by crawlers as of 2026 , low priority but easy win if simple to implement</t>
  </si>
  <si>
    <t>Is the sitemap setup correctly?</t>
  </si>
  <si>
    <t>Does an XML sitemap(s) exist?</t>
  </si>
  <si>
    <t>11. Sitemap</t>
  </si>
  <si>
    <t>Is the sitemap a dynamic sitemap?</t>
  </si>
  <si>
    <t>are &lt;loc&gt; tags being used, and are URLs accurately reflecting www. / non-www. versions? (Compulsory)</t>
  </si>
  <si>
    <t xml:space="preserve">Are last modified tags being used? </t>
  </si>
  <si>
    <t>All the pages that are blocked in robots.txt and meta robots tags must be excluded from sitemap.xml as well.</t>
  </si>
  <si>
    <t>Are paginated URLs being avoided in the sitemap? (Not a priority for Google to crawl)</t>
  </si>
  <si>
    <t>Has the XML sitemap been checked to remove non indexable URLs? (for example non canonical or non code 200 URLs)?</t>
  </si>
  <si>
    <t>If e-commerce site: does the XML sitemap contain product images where appropriate?</t>
  </si>
  <si>
    <t>Is the XML sitemap submitted to Google Search Console (and confirmed error-free)?</t>
  </si>
  <si>
    <t>Are robots meta tags used correctly?</t>
  </si>
  <si>
    <t>Check all faceted navigation and filters (and add canonicalisation)</t>
  </si>
  <si>
    <t>12. Robots meta tags</t>
  </si>
  <si>
    <t>Do internal search pages, thank you pages, archive pages have noindex added?</t>
  </si>
  <si>
    <t>Are there any sections of the site that we are accidentally adding noindex to?</t>
  </si>
  <si>
    <t>Canonical tag use</t>
  </si>
  <si>
    <t>Are there canonical tags on every page (self referencing except for special cases)?</t>
  </si>
  <si>
    <t>13. Canonical tag</t>
  </si>
  <si>
    <t>Are the canonical tags referencing the correct version of the page?</t>
  </si>
  <si>
    <t>Do pages with tracking or other query strings correctly point their canonical tag to the base URL to avoid duplicate content?</t>
  </si>
  <si>
    <t>For e-commerce platforms, including shopify, are there canonical tags pointing to the base product URL for variants?</t>
  </si>
  <si>
    <t>Internal search: make sure search doesn't cause duplication through URLs</t>
  </si>
  <si>
    <t>Sometimes search bar creates a dynamic URL - test if indexed (GSC).</t>
  </si>
  <si>
    <t>Blog categories, tags and archives: make sure that these aren't causing duplication</t>
  </si>
  <si>
    <t>Noindex tags/archives/product archives in YOAST. Use site: search to identify.</t>
  </si>
  <si>
    <t>Is Google respecting the canonicals? (Duplicate, Google chose...)</t>
  </si>
  <si>
    <t>Pagination</t>
  </si>
  <si>
    <t>Are there on-page links to page 2 and onward? (can be hidden with CSS for users if ajax is being used)</t>
  </si>
  <si>
    <t>14. Pagination</t>
  </si>
  <si>
    <t xml:space="preserve">Is the client having both a “View All” page and paginated pages without a correct rel=canonical? </t>
  </si>
  <si>
    <t>Are rel=”prev” and rel=”next” link attributes being used, so that Google knows to consolidate the ranking signals?</t>
  </si>
  <si>
    <t>Does the client have a page=1 in addition to the root page? (This is wrong)</t>
  </si>
  <si>
    <t>Caused Duplication? (Even if your H1 etc are the same, the actual page content differs, it’s not duplication)</t>
  </si>
  <si>
    <t>On paginated content, does the canonical tag always refer to the page itself?</t>
  </si>
  <si>
    <t xml:space="preserve">Internationalization | HREFLANG (All Pages) </t>
  </si>
  <si>
    <t>Multi-language/ country?</t>
  </si>
  <si>
    <t>Parameter? (i.e: ?lang=en) or ccTLD or others?</t>
  </si>
  <si>
    <t>Are there any hreflang issues? (Missing self reference, return links, non-canonical, incorrect language, non-200)</t>
  </si>
  <si>
    <t>15. Hreflang tag</t>
  </si>
  <si>
    <t>Competitor Analysis</t>
  </si>
  <si>
    <t>Does the client require a content gap?</t>
  </si>
  <si>
    <t>Does the client require a detailed product / service competitor analysis?</t>
  </si>
  <si>
    <t>Does the client require a competitor health score comparison? (SEMrush)</t>
  </si>
  <si>
    <t>Content</t>
  </si>
  <si>
    <t>Are page titles setup properly?</t>
  </si>
  <si>
    <t>Does each URL have a title? (excluding target pages)</t>
  </si>
  <si>
    <t>17.1 Page titles - Missing</t>
  </si>
  <si>
    <t>Is the site free of any page title duplication?</t>
  </si>
  <si>
    <t>17.2 Page titles - Duplicate</t>
  </si>
  <si>
    <t>Are page titles using the 580 pixel maximum width effectively?</t>
  </si>
  <si>
    <t>17.3 Page titles - Too Long</t>
  </si>
  <si>
    <t>Are there multiple page titles</t>
  </si>
  <si>
    <t>17.4 Page titles - Multiple</t>
  </si>
  <si>
    <t>Are meta descriptions setup properly?</t>
  </si>
  <si>
    <t>Does each URL have a description? (excluding target pages)</t>
  </si>
  <si>
    <t>18.1 Descriptions - Missing</t>
  </si>
  <si>
    <t>Is the site free of any meta description duplication?</t>
  </si>
  <si>
    <t>18.2 Descriptions - Duplicate</t>
  </si>
  <si>
    <t>Are meta descriptions using the 155 character limit effectively?</t>
  </si>
  <si>
    <t>18.3 Descriptions - Too Long</t>
  </si>
  <si>
    <t>Are headings used correctly?</t>
  </si>
  <si>
    <t>Do all pages contain a single, keyword-optimised H1?</t>
  </si>
  <si>
    <t>19.1 H1 - Missing</t>
  </si>
  <si>
    <t>Are there H1 duplicates?</t>
  </si>
  <si>
    <t>19.2 H1 - Duplicate</t>
  </si>
  <si>
    <t>Are there multiple H1s tags in a single page?</t>
  </si>
  <si>
    <t>19.3 H1 - Multiple</t>
  </si>
  <si>
    <t>Image optimisation</t>
  </si>
  <si>
    <t>Do images contain alt text</t>
  </si>
  <si>
    <t>20.1 Image - Alt Text Missing</t>
  </si>
  <si>
    <t>Oversized images</t>
  </si>
  <si>
    <t>20.2 Image - Oversize</t>
  </si>
  <si>
    <t>Has content been duplicated from elsewhere?</t>
  </si>
  <si>
    <t>Is there any duplicate content externally? (Siteliner doesn't work on Chinese-Based websites)</t>
  </si>
  <si>
    <t>21.1 Duplicate Content - External</t>
  </si>
  <si>
    <t>Is there any duplicate content internally? (SEMrush)</t>
  </si>
  <si>
    <t>21.2 Duplicate Content - Internal</t>
  </si>
  <si>
    <t>Content suggestions / E-E-A-T (YMYL Pages Compulsory)</t>
  </si>
  <si>
    <t>Review competitor's content, Page titles, Meta Description, Heading Tags (target pages)</t>
  </si>
  <si>
    <t>22 Content suggestions</t>
  </si>
  <si>
    <t>Any thin / low content pages? (SF)</t>
  </si>
  <si>
    <t>Does the client have content that supports Personal Search &amp; Conversational Search queries?</t>
  </si>
  <si>
    <t>Will users understand the client's content? Google can detect with Machine Learning (clicks, viewport time data).</t>
  </si>
  <si>
    <t>Visual Aid analysis, does the client need it?</t>
  </si>
  <si>
    <t>Does the client have author bios and list credentials? Links to external sources for EEAT?</t>
  </si>
  <si>
    <r>
      <rPr>
        <rFont val="Proxima Nova"/>
        <color theme="1"/>
        <sz val="11.0"/>
      </rPr>
      <t xml:space="preserve">Does the client break down long-form content into digestible subheadings for </t>
    </r>
    <r>
      <rPr>
        <rFont val="Proxima Nova"/>
        <b/>
        <color theme="1"/>
        <sz val="11.0"/>
      </rPr>
      <t>passage indexing</t>
    </r>
    <r>
      <rPr>
        <rFont val="Proxima Nova"/>
        <color theme="1"/>
        <sz val="11.0"/>
      </rPr>
      <t>?</t>
    </r>
  </si>
  <si>
    <t>Does the client have summary in their blog post to increase featured snippet chances?</t>
  </si>
  <si>
    <t>Table of contents exist?</t>
  </si>
  <si>
    <t>AI Visibility Audit</t>
  </si>
  <si>
    <t>Set up test projects on Workduo/SEM Rush on top priority queries on client key focus areas/ topics</t>
  </si>
  <si>
    <t>34. AI Visibility Audit</t>
  </si>
  <si>
    <t>Workduo/ SEM Rush</t>
  </si>
  <si>
    <t>Identify AI citation gaps - competitors cited but not client</t>
  </si>
  <si>
    <t>ahrefs brand radar, workduo</t>
  </si>
  <si>
    <t>Content Optimisation for GEO</t>
  </si>
  <si>
    <t>Content answers questions directly in first 40-60 words?</t>
  </si>
  <si>
    <t>35. Content Optimisation for GEO</t>
  </si>
  <si>
    <t>LLMs prioritise content with direct answers upfront</t>
  </si>
  <si>
    <t>Fact density: statistics / data every 150-200 words?</t>
  </si>
  <si>
    <t>LLM like useful data, staitstics of any kind. 
If possible, prioritisre first party data sources</t>
  </si>
  <si>
    <t>Authoritative sources cited throughout content?</t>
  </si>
  <si>
    <t>LLMs reward transparent citations with live URLs</t>
  </si>
  <si>
    <t>Original research, data, or expert commentary present?</t>
  </si>
  <si>
    <t>Unique data = stronger citation authority</t>
  </si>
  <si>
    <t>Content structured as Q&amp;A blocks (&lt;300 chars) for key topics?</t>
  </si>
  <si>
    <t>AI engines extract Q&amp;A-formatted content more easily</t>
  </si>
  <si>
    <t>TL;DR / summary blocks at top of articles?</t>
  </si>
  <si>
    <t>✖</t>
  </si>
  <si>
    <t>Increases chances of AI citation and featured snippets</t>
  </si>
  <si>
    <t>Content covers follow-up questions logically?</t>
  </si>
  <si>
    <t>Content freshness: last modified dates visible, stats updated regularly?</t>
  </si>
  <si>
    <t>AI engines penalise stale content , update every 3-6 months</t>
  </si>
  <si>
    <t>Technical GEO</t>
  </si>
  <si>
    <t>AI bot traffic monitored in server logs?</t>
  </si>
  <si>
    <t>36. Technical GEO</t>
  </si>
  <si>
    <t>Track GPTBot, ClaudeBot, PerplexityBot traffic patterns</t>
  </si>
  <si>
    <t>Schema markup rich enough to feed LLMs?</t>
  </si>
  <si>
    <t>FAQPage, HowTo, Product, Article schema</t>
  </si>
  <si>
    <t>Site renders content server-side (SSR) or uses prerendering?</t>
  </si>
  <si>
    <t>AI crawlers less sophisticated with JS than Googlebot</t>
  </si>
  <si>
    <t>Brand entity connected to Wikipedia, Wikidata, industry standards?</t>
  </si>
  <si>
    <t>Strengthens entity recognition by LLMs</t>
  </si>
  <si>
    <t>Content available in clean HTML (not JS-only rendering)?</t>
  </si>
  <si>
    <t>AI bots parse HTML more reliably than JS</t>
  </si>
  <si>
    <t>Rich Snippets and Structured Data</t>
  </si>
  <si>
    <t>Is there JSON-LD for in header for: organization:name,url,logo,sameAs</t>
  </si>
  <si>
    <t>23. Rich Snippets</t>
  </si>
  <si>
    <t>For e-commerce sites: has product, product rating and review structured data been implemented correctly?</t>
  </si>
  <si>
    <t>Is there breadcrumb schema?</t>
  </si>
  <si>
    <t>If there is an internal search facility, has Sitelinks Search Box schema been added?</t>
  </si>
  <si>
    <t>Is there article / how-to / blog post / person schema?</t>
  </si>
  <si>
    <t>Does the client need to generate review schema?</t>
  </si>
  <si>
    <t>Is there FAQ schema? (Optional - If FAQ is listed on pages, use ChatGPT to create FAQ schema with a screencap)</t>
  </si>
  <si>
    <t>Schema being read properly in GSC? (enhancements)</t>
  </si>
  <si>
    <t>Internal linking</t>
  </si>
  <si>
    <r>
      <rPr>
        <rFont val="Arial"/>
        <color theme="1"/>
        <sz val="11.0"/>
      </rPr>
      <t xml:space="preserve">Contextual links : links are included in homepage &lt;p&gt;body copy&lt;/p&gt; </t>
    </r>
    <r>
      <rPr>
        <rFont val="Arial"/>
        <b/>
        <color theme="1"/>
        <sz val="11.0"/>
      </rPr>
      <t xml:space="preserve">[important]
</t>
    </r>
    <r>
      <rPr>
        <rFont val="Proxima Nova"/>
        <color theme="1"/>
        <sz val="11.0"/>
      </rPr>
      <t>1. Open up Screaming Frog
2. Go to Configuration &gt; Custom &gt; Custom Search
3. Click "Add". Ensure "Contains Text" is selected and then type in your desired anchor text
4. Repeat this process for all the anchor text that you want to find
5. Begin your crawl. When finished, you can go to the "Custom Search" section of the crawl and find the pages with the most instances of the searched text.</t>
    </r>
  </si>
  <si>
    <t>24. Internal linking</t>
  </si>
  <si>
    <t>If E-commerce site: are there links from product pages to other thematically suitable product pages?</t>
  </si>
  <si>
    <t>Are breadcrumbs being leveraged to create hierarchical linking structure</t>
  </si>
  <si>
    <t>Are there automated links from category pages to other relevant category/sub category pages?</t>
  </si>
  <si>
    <t>Have SEO footer links been added to the site?</t>
  </si>
  <si>
    <t>Are there any internal links having multiple redirected versions? (SF Reports &gt; Redirects &gt; Redirect Chains)</t>
  </si>
  <si>
    <t>24.6 Redirect Chains</t>
  </si>
  <si>
    <r>
      <rPr>
        <rFont val="Proxima Nova"/>
        <color theme="1"/>
        <sz val="11.0"/>
      </rPr>
      <t xml:space="preserve">Are there any orphan pages? (SEMrush) </t>
    </r>
    <r>
      <rPr>
        <rFont val="Proxima Nova"/>
        <b/>
        <color theme="1"/>
        <sz val="11.0"/>
      </rPr>
      <t>Are there any links that are non-&lt;a href=”www.example.com”&gt; format?</t>
    </r>
  </si>
  <si>
    <t>24.7 Orphan URLs</t>
  </si>
  <si>
    <t>Are there any broken internal links? (SF &gt; Response Codes &gt; 4xx &gt; Inlinks)</t>
  </si>
  <si>
    <t>24.8 Broken Internal Links</t>
  </si>
  <si>
    <t>Suggestion for internal linking (GSC &gt; find pages with high external / internal links &gt; use as base)</t>
  </si>
  <si>
    <t>Crawling Issues</t>
  </si>
  <si>
    <t>Is the navigation bar clear, organised and does it contain links to important pages on the site?</t>
  </si>
  <si>
    <t>25. Crawling Issues</t>
  </si>
  <si>
    <t>Is Google Bot able to access our significant pages?</t>
  </si>
  <si>
    <t>Head to to GSC &gt; Settings &gt; Crawl Stats &gt; Open Report &gt; By Response &gt; OK (200) &gt; Check if target pages are in the list</t>
  </si>
  <si>
    <t>How many pages Google is crawling every day?</t>
  </si>
  <si>
    <t>Head to to GSC &gt; Settings &gt; Crawl Stats &gt; Open Report
Take the latest "Total Crawl Request"</t>
  </si>
  <si>
    <t>Which URLs are wasting crawl budget?</t>
  </si>
  <si>
    <t>Head to to GSC &gt; Settings &gt; Crawl Stats &gt; Open Report
Flag out all URLs that are not "OK (200)", "Moved permanently (301)"</t>
  </si>
  <si>
    <t>Technical</t>
  </si>
  <si>
    <t>URL best practices</t>
  </si>
  <si>
    <t>Do the URL's have logical hierarchical folder structure, and include keywords</t>
  </si>
  <si>
    <t>26.1 URL best practices</t>
  </si>
  <si>
    <t>Clean URL - no excessive parameters</t>
  </si>
  <si>
    <t>26.2 Parameters</t>
  </si>
  <si>
    <t>Separator: use - instead of _</t>
  </si>
  <si>
    <t>26.3 Underscores</t>
  </si>
  <si>
    <t>Is lower case enforced for all URLs</t>
  </si>
  <si>
    <t>26.4 Uppercase</t>
  </si>
  <si>
    <t>Multiple slashes in URLs</t>
  </si>
  <si>
    <t>26.5 Multiple Slashes</t>
  </si>
  <si>
    <r>
      <rPr>
        <rFont val="Calibri"/>
        <color rgb="FF000000"/>
        <sz val="12.0"/>
      </rPr>
      <t xml:space="preserve">Are trailing slashes being incorporated? </t>
    </r>
    <r>
      <rPr>
        <rFont val="Calibri"/>
        <color rgb="FF1155CC"/>
        <sz val="12.0"/>
        <u/>
      </rPr>
      <t>https://example.com</t>
    </r>
    <r>
      <rPr>
        <rFont val="Calibri"/>
        <color rgb="FF000000"/>
        <sz val="12.0"/>
      </rPr>
      <t xml:space="preserve">/seo (bad) </t>
    </r>
    <r>
      <rPr>
        <rFont val="Calibri"/>
        <color rgb="FF1155CC"/>
        <sz val="12.0"/>
        <u/>
      </rPr>
      <t>https://example.com/seo/</t>
    </r>
    <r>
      <rPr>
        <rFont val="Calibri"/>
        <color rgb="FF000000"/>
        <sz val="12.0"/>
      </rPr>
      <t xml:space="preserve"> (good)</t>
    </r>
  </si>
  <si>
    <t xml:space="preserve"> by omitting the trailing slash, you’re forcing the server to execute an unnecessary 301 redirect</t>
  </si>
  <si>
    <t xml:space="preserve">Are HTTP Status Codes Used Correctly? Are there broken links? </t>
  </si>
  <si>
    <t>Is the server returning a 404 status on error pages (as opposed to a soft 404)?</t>
  </si>
  <si>
    <t>27.1 404s</t>
  </si>
  <si>
    <t>Are there current server errors (5xx codes)?</t>
  </si>
  <si>
    <t>27.2 5xx</t>
  </si>
  <si>
    <t>Are 302 redirects avoided?</t>
  </si>
  <si>
    <t>27.3 302 Redirects</t>
  </si>
  <si>
    <t xml:space="preserve">For temporary redirects (products temporarily unavailable), 307s are better than 302s. </t>
  </si>
  <si>
    <t>Is there a custom 404 page with a CTA and links to main category pages?</t>
  </si>
  <si>
    <t>27.5 Competitor 404s</t>
  </si>
  <si>
    <t>Page speed</t>
  </si>
  <si>
    <t>Pagespeed Insights: Mobile Score</t>
  </si>
  <si>
    <t>28. Page Speed</t>
  </si>
  <si>
    <r>
      <rPr>
        <rFont val="Calibri"/>
        <color rgb="FF0563C1"/>
        <sz val="12.0"/>
        <u/>
      </rPr>
      <t xml:space="preserve">GT Metrix or Pingdom Score | </t>
    </r>
    <r>
      <rPr>
        <rFont val="Calibri"/>
        <color rgb="FF1155CC"/>
        <sz val="12.0"/>
        <u/>
      </rPr>
      <t>https://gtmetrix.com/</t>
    </r>
  </si>
  <si>
    <r>
      <rPr>
        <rFont val="Calibri"/>
        <color theme="1"/>
        <sz val="12.0"/>
      </rPr>
      <t xml:space="preserve">Site Speed: (SF Configuration &gt; API Access &gt; PageSpeed Insights’ &gt; API key: </t>
    </r>
    <r>
      <rPr>
        <rFont val="Calibri"/>
        <color rgb="FF1155CC"/>
        <sz val="12.0"/>
        <u/>
      </rPr>
      <t>https://developers.google.com/speed/docs/insights/v5/get-started</t>
    </r>
  </si>
  <si>
    <t>Core Web Vitals Test (GSC Groups)</t>
  </si>
  <si>
    <t>28.4 CWV</t>
  </si>
  <si>
    <t xml:space="preserve">If Wordpress site - is speed a significant issue? Does the site need a separate speed audit? </t>
  </si>
  <si>
    <t>Local</t>
  </si>
  <si>
    <t>If the site has brick and mortar stores, have these been optimised for local search?</t>
  </si>
  <si>
    <t>Do individual stores have their own dedicated pages with proper page titles &amp; store details</t>
  </si>
  <si>
    <t>29. Local Search</t>
  </si>
  <si>
    <t>Is the site listed in reputable business directories?</t>
  </si>
  <si>
    <t>Is there a consistent NAP across the site and external sites</t>
  </si>
  <si>
    <t>Has Google MyBusiness been setup and optimised for each location?</t>
  </si>
  <si>
    <t>Has conversion tracking been set up for the client?</t>
  </si>
  <si>
    <t>Are pageviews &amp; goals/conversions set up in GA4?</t>
  </si>
  <si>
    <t>If the site is ecommerce, is ecom tracking set up in GA4?</t>
  </si>
  <si>
    <t xml:space="preserve">Does the client need a separate Conversion Rate Optimisation (CRO) audit? </t>
  </si>
  <si>
    <t>Off-Page</t>
  </si>
  <si>
    <t>Backlink profile</t>
  </si>
  <si>
    <t>Check backlink profile in aHrefs</t>
  </si>
  <si>
    <t>https://ahrefs.com/blog/backlink-audit/</t>
  </si>
  <si>
    <t>Is the current backlink budget enough? If not we need to increase it (10% &gt; 20%)</t>
  </si>
  <si>
    <t>31. Backlink profile</t>
  </si>
  <si>
    <t>Does the site need a disavow? (SME N/A)</t>
  </si>
  <si>
    <t>Standard Procedures</t>
  </si>
  <si>
    <t>CRM Protocol / Standard Procedures</t>
  </si>
  <si>
    <t>Backlink request</t>
  </si>
  <si>
    <r>
      <rPr>
        <rFont val="Calibri"/>
        <color rgb="FF000000"/>
        <sz val="11.0"/>
        <u/>
      </rPr>
      <t xml:space="preserve">Please ask AM to put the special requirement here (if have):
</t>
    </r>
    <r>
      <rPr>
        <rFont val="Calibri"/>
        <color rgb="FF1155CC"/>
        <sz val="11.0"/>
        <u/>
      </rPr>
      <t>https://docs.google.com/spreadsheets/d/1f0bDFRGR5n4pEW2RF-N5Q1NPYfEMcmN5Ijmx4YXTyQI/edit?gid=0#gid=0</t>
    </r>
  </si>
  <si>
    <t>Backlink Monthly Task Created</t>
  </si>
  <si>
    <r>
      <rPr>
        <rFont val="Calibri"/>
        <color theme="1"/>
        <sz val="11.0"/>
      </rPr>
      <t xml:space="preserve">Example task: </t>
    </r>
    <r>
      <rPr>
        <rFont val="Calibri"/>
        <color rgb="FF1155CC"/>
        <sz val="11.0"/>
        <u/>
      </rPr>
      <t>https://sentr.online/admin/tasks/view/368415</t>
    </r>
    <r>
      <rPr>
        <rFont val="Calibri"/>
        <color theme="1"/>
        <sz val="11.0"/>
      </rPr>
      <t xml:space="preserve"> </t>
    </r>
  </si>
  <si>
    <t>Content request (TC)</t>
  </si>
  <si>
    <t>New standard - min. 450 words which includes FAQS.</t>
  </si>
  <si>
    <t>Content request (EN)</t>
  </si>
  <si>
    <t xml:space="preserve">Each target page gets copy. </t>
  </si>
  <si>
    <t>Check geographic LOCATION is added to keywords in Serpbook</t>
  </si>
  <si>
    <t>Make sure the right search engine is selected. Add GMB/address.</t>
  </si>
  <si>
    <t>Post Keywords, URLs in Notes | CAMPAIGN KEYWORDS AND TARGET URLS (YYYYMMDD)</t>
  </si>
  <si>
    <t>ALWAYS PASTE THIS SHEET INTO SENTR. EVEN FOR REVIEWS.</t>
  </si>
  <si>
    <t>Reply Onsite Tech ticket, Paste Checklist, Upload XLS</t>
  </si>
  <si>
    <t>ALWAYS DOWNLOAD THIS SHEET AND ATTACH TO SENTR.</t>
  </si>
  <si>
    <t>Update the responsibility and priority in Tab - Priorities &amp; Status</t>
  </si>
  <si>
    <t>ALWAYS UPDATE Priorities &amp; Status Tab</t>
  </si>
  <si>
    <t>Position</t>
  </si>
  <si>
    <t>Google Ranking URL</t>
  </si>
  <si>
    <t>Item</t>
  </si>
  <si>
    <t>Detailed Notes</t>
  </si>
  <si>
    <t>Responsibility</t>
  </si>
  <si>
    <t>Priority</t>
  </si>
  <si>
    <t>Require Developer?
Exported &gt; True / False Conditional Coloring</t>
  </si>
  <si>
    <t>Completed? (AM &amp; Client Use)</t>
  </si>
  <si>
    <t>SEO / GEO Item?</t>
  </si>
  <si>
    <t>First Page &amp; Client</t>
  </si>
  <si>
    <t>MEDIUM</t>
  </si>
  <si>
    <t>Client</t>
  </si>
  <si>
    <t>N/A</t>
  </si>
  <si>
    <t>Implementation Checklist</t>
  </si>
  <si>
    <t>What Is It? Why Is It Important? General Recommendation</t>
  </si>
  <si>
    <t>Priorities &amp; Status</t>
  </si>
  <si>
    <t>Put new robots.txt here</t>
  </si>
  <si>
    <t>Rules To Add (Tested) / Remove</t>
  </si>
  <si>
    <t>URL Example</t>
  </si>
  <si>
    <t>Remarks</t>
  </si>
  <si>
    <t>Screenshots (If have)</t>
  </si>
  <si>
    <t>Address</t>
  </si>
  <si>
    <t>Issues</t>
  </si>
  <si>
    <t>Instructions (If have)</t>
  </si>
  <si>
    <t>Keywords</t>
  </si>
  <si>
    <t>Source</t>
  </si>
  <si>
    <t>Destination</t>
  </si>
  <si>
    <t>Anchor Text</t>
  </si>
  <si>
    <t>Specific Instructions (If have)</t>
  </si>
  <si>
    <t>Sitemaps</t>
  </si>
  <si>
    <t>URLs Example</t>
  </si>
  <si>
    <t>Instructions</t>
  </si>
  <si>
    <t>Screenshots (If Applicable)</t>
  </si>
  <si>
    <t>What Is It? Why Is It Important? General Recommendations</t>
  </si>
  <si>
    <t>Canonical Link Element</t>
  </si>
  <si>
    <t>Prompt</t>
  </si>
  <si>
    <t>write Chinese SEO optimized page titles within 580 pixels for the following URLs, titles must end with - {brand name}:</t>
  </si>
  <si>
    <t>New Title</t>
  </si>
  <si>
    <t>Titles</t>
  </si>
  <si>
    <t>Title - 1</t>
  </si>
  <si>
    <t>Pixel Width ( max 580 pixels)</t>
  </si>
  <si>
    <t>Revised Title</t>
  </si>
  <si>
    <t>Title - 2</t>
  </si>
  <si>
    <t>Meta Description</t>
  </si>
  <si>
    <t>SF &gt; Config &gt; Spider &gt; Preferences &gt; 880 pixels (mobile max)</t>
  </si>
  <si>
    <t>Pixel Width</t>
  </si>
  <si>
    <t>H1</t>
  </si>
  <si>
    <t>H1-1</t>
  </si>
  <si>
    <t>H1-2</t>
  </si>
  <si>
    <t>Example Screenshots (If Applicable)</t>
  </si>
  <si>
    <t>Bulk Export &gt; Images &gt; copy from excel, Images over 100KB, Only put non-webp images here</t>
  </si>
  <si>
    <t>Size (Bytes)</t>
  </si>
  <si>
    <t>If the website contains an above-average amount of duplicate content. You may want to either remove the duplicate content so it appears on only one of your pages, or modify the content on the various pages to ensure that each page is unique.</t>
  </si>
  <si>
    <t>Screenshots (If Have)</t>
  </si>
  <si>
    <t>Issue</t>
  </si>
  <si>
    <t>llms.txt example</t>
  </si>
  <si>
    <t>Blog Pages</t>
  </si>
  <si>
    <t>New blog content for GEO should contain Table of Content and TL;DR section for AI search engine to extract the quick answers.</t>
  </si>
  <si>
    <r>
      <rPr/>
      <t xml:space="preserve">Example from First Page HK articles : </t>
    </r>
    <r>
      <rPr>
        <color rgb="FF1155CC"/>
        <u/>
      </rPr>
      <t>https://www.firstpage.hk/resources/content/ai-strategy-guide-from-seo-to-geo-when-ai-overviews-steal-34-of-your-clicks/</t>
    </r>
  </si>
  <si>
    <t>FAQ sections should be added in blogs to answer the quick questions to increase opportunity to be cited in AI overview.
FAQ schema is required for each questions in the blog.</t>
  </si>
  <si>
    <t>One example for each Schema Type, target pages AM plz create separate task</t>
  </si>
  <si>
    <t>Page</t>
  </si>
  <si>
    <t>URL</t>
  </si>
  <si>
    <t>Schema type</t>
  </si>
  <si>
    <t>Current status</t>
  </si>
  <si>
    <t>CURRENT schema code (live)</t>
  </si>
  <si>
    <t>Issues / why change</t>
  </si>
  <si>
    <t>AMENDED / recommended schema code</t>
  </si>
  <si>
    <t>Wix implementation notes</t>
  </si>
  <si>
    <t>Wix SEO Settings inject a basic LocalBusiness. To replace/extend, use Settings &gt; Custom Code (header, all pages) OR a Velo page code block. Fill &lt;image&gt;, &lt;logo&gt;, sameAs handles, and REAL reviewCount before publishing. Verify geo coordinates.</t>
  </si>
  <si>
    <t>Replace via Custom Code. Only keep SearchAction if the Wix site search URL pattern matches; otherwise drop potentialAction.</t>
  </si>
  <si>
    <t>Add via Custom Code on /price-list. Mirrors the visible pricing — update if package inclusions change. Consider modelling each package as a Product instead if you want star ratings per package.</t>
  </si>
  <si>
    <t>Custom Code, page-scoped.</t>
  </si>
  <si>
    <t>Custom Code on /giveaway-gift. Confirm exact per-item prices with client (page prices are approximate). Add product images to each Product for richer results.</t>
  </si>
  <si>
    <t>Custom Code on /services2.</t>
  </si>
  <si>
    <t>Custom Code on /new.</t>
  </si>
  <si>
    <t>Custom Code on /new. Steps mirror the on-page 1-4 booking list.</t>
  </si>
  <si>
    <t>GSC &gt; Top Linked Pages - Internally &gt; Any Outdated Links Detected</t>
  </si>
  <si>
    <t>Entry Points / Address</t>
  </si>
  <si>
    <t>Located Sitemap</t>
  </si>
  <si>
    <t>Instruction</t>
  </si>
  <si>
    <t>Broken Link URL</t>
  </si>
  <si>
    <t>Instruction / Anchor Text</t>
  </si>
  <si>
    <t>Recommendations</t>
  </si>
  <si>
    <t>Address GSC / SF</t>
  </si>
  <si>
    <t>SF Entry Points</t>
  </si>
  <si>
    <t>Screenshots (If Require)</t>
  </si>
  <si>
    <t>Screenshots (If Have</t>
  </si>
  <si>
    <t>Initial Redirect URL</t>
  </si>
  <si>
    <t>Final Destination URL</t>
  </si>
  <si>
    <t>Screenshots</t>
  </si>
  <si>
    <t>Homepage Pagespeed Link</t>
  </si>
  <si>
    <t>GTMetrix Link</t>
  </si>
  <si>
    <t>Performance Score</t>
  </si>
  <si>
    <t>Speed Index Time (ms) - 1000ms = 1 s</t>
  </si>
  <si>
    <t>Eliminate Render-Blocking Resources Savings (ms)</t>
  </si>
  <si>
    <t>Defer Offscreen Images Savings (ms)</t>
  </si>
  <si>
    <t>Efficiently Encode Images Savings (ms)</t>
  </si>
  <si>
    <t>Properly Size Images Savings (ms)</t>
  </si>
  <si>
    <t>Minify CSS Savings (ms)</t>
  </si>
  <si>
    <t>Minify JavaScript Savings (ms)</t>
  </si>
  <si>
    <t>Reduce Unused CSS Savings (ms)</t>
  </si>
  <si>
    <t>Reduce Unused JavaScript Savings (ms)</t>
  </si>
  <si>
    <t>Serve Images in Next-Gen Savings (ms)</t>
  </si>
  <si>
    <t>Enable Text Compression Savings (ms)</t>
  </si>
  <si>
    <t>To provide a good user experience, sites should strive to have Largest Contentful Paint of 2.5 seconds or less. 
To provide a good user experience, sites should strive to have a CLS score of 0.1 or less
To provide a good user experience, sites should strive to have a FID of 100 ms or less</t>
  </si>
  <si>
    <t>Example URL</t>
  </si>
  <si>
    <t>Group population</t>
  </si>
  <si>
    <t>Group LCP</t>
  </si>
  <si>
    <t>Group CLS</t>
  </si>
  <si>
    <t>Group FID / INP
(Use TBT)</t>
  </si>
  <si>
    <t>URLs in the report are grouped into pages that have a similar user experience. It is assumed that these groups have a common framework and the reasons for any poor behavior of the group will likely be caused by the same underlying reasons.</t>
  </si>
  <si>
    <t>17.10</t>
  </si>
  <si>
    <t>22.10</t>
  </si>
  <si>
    <t>22.11</t>
  </si>
  <si>
    <t>Section</t>
  </si>
  <si>
    <t>Add/Remove</t>
  </si>
  <si>
    <t>Reason/Reference</t>
  </si>
  <si>
    <t>Are any images in excess of 100kb?</t>
  </si>
  <si>
    <t>Site Speed</t>
  </si>
  <si>
    <t>ADD</t>
  </si>
  <si>
    <t>Is a CDN in use?</t>
  </si>
  <si>
    <t>Social Section</t>
  </si>
  <si>
    <t>Add value prop around why someone should create an account</t>
  </si>
  <si>
    <t>Usability Experience Checks</t>
  </si>
  <si>
    <t>Conversion</t>
  </si>
  <si>
    <t>Allow checkout as guest</t>
  </si>
  <si>
    <t>Allow users to continue on another device by emailing or saving for later</t>
  </si>
  <si>
    <t>Allow users to update their carts (change quantity with steppers, remove)</t>
  </si>
  <si>
    <t>Don't redirect into checkout after adding to card</t>
  </si>
  <si>
    <t>Have descriptive CTAs</t>
  </si>
  <si>
    <t>Let users sign up/sign in with social</t>
  </si>
  <si>
    <t>Limit your exit points during the conversion flow</t>
  </si>
  <si>
    <t>Reiterate value prop (typically free shipping) in the cart</t>
  </si>
  <si>
    <t>Use pagination or a progress bar if more than 2 steps in conversion flow</t>
  </si>
  <si>
    <t>Don't use dropdowns for inputs with &lt; 4 options, instead opt for buttons</t>
  </si>
  <si>
    <t>Form Optimisation</t>
  </si>
  <si>
    <t>Reduce number of fields: A) Remove optional fields, B) Use full name instead of first/last C) Hide company and address line 2, D) Check billing as shipping by default</t>
  </si>
  <si>
    <t>Use correct keypads</t>
  </si>
  <si>
    <t>Use inline validation and autofill</t>
  </si>
  <si>
    <t>Use steppers, sliders, or open field input for numerical entry rather than large dropdowns</t>
  </si>
  <si>
    <t>Are hyperlinks clear?</t>
  </si>
  <si>
    <t>Homepage / Landing Page</t>
  </si>
  <si>
    <t>Are there too many ads on any pages?</t>
  </si>
  <si>
    <t>Clear benefit-oriented value prop above the fold</t>
  </si>
  <si>
    <t>Clear CTA above the fold</t>
  </si>
  <si>
    <t>Display top categories on homepage</t>
  </si>
  <si>
    <t>Does the site bombard you with popups?</t>
  </si>
  <si>
    <t>Don't use full-page interstitials</t>
  </si>
  <si>
    <t>Remove automatic carousels</t>
  </si>
  <si>
    <t>Use legible font sizes (16px+) and colours</t>
  </si>
  <si>
    <t>Use social profile</t>
  </si>
  <si>
    <t>Always return results</t>
  </si>
  <si>
    <t>Internal Search</t>
  </si>
  <si>
    <t>Implement spelling correction</t>
  </si>
  <si>
    <t>Include previous or top searches</t>
  </si>
  <si>
    <t>Include search</t>
  </si>
  <si>
    <t>Make search visible</t>
  </si>
  <si>
    <t>Use auto-suggestions</t>
  </si>
  <si>
    <t>For main product categories, order by traffic volume</t>
  </si>
  <si>
    <t>Menu &amp; Navigation</t>
  </si>
  <si>
    <t>If calls are important, include click-to-call at the top of every page</t>
  </si>
  <si>
    <t>If foot traffic is important, include a store locator button in the menu</t>
  </si>
  <si>
    <t>If using subcategories, organize alphabetically</t>
  </si>
  <si>
    <t>Include post sales activities in the menu</t>
  </si>
  <si>
    <t>Keep menu options on one page</t>
  </si>
  <si>
    <t>Show consolidated menu</t>
  </si>
  <si>
    <t>Add urgency elements</t>
  </si>
  <si>
    <t>Product</t>
  </si>
  <si>
    <t>Allow users to sort/filter large number of products easily</t>
  </si>
  <si>
    <t>Display price info above the fold on product pages</t>
  </si>
  <si>
    <t>Have a value prop at every point in the funnel, including category and product pages</t>
  </si>
  <si>
    <t>If large number of products, add reviews</t>
  </si>
  <si>
    <t>Make sure filtering is useful</t>
  </si>
  <si>
    <t>Make sure product descriptions are readable</t>
  </si>
  <si>
    <t>Is there any duplicate content externally?</t>
  </si>
  <si>
    <t>Is there any duplicate content internally?</t>
  </si>
  <si>
    <t>X-Robots</t>
  </si>
  <si>
    <t>Backlinks</t>
  </si>
  <si>
    <t>Break speed into sections</t>
  </si>
  <si>
    <t>Linking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</si>
</sst>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9">
    <font>
      <sz val="10.0"/>
      <color rgb="FF000000"/>
      <name val="Arial"/>
      <scheme val="minor"/>
    </font>
    <font>
      <b/>
      <sz val="18.0"/>
      <color rgb="FFFFFFFF"/>
      <name val="Proxima Nova"/>
    </font>
    <font>
      <b/>
      <sz val="18.0"/>
      <color rgb="FFFFFFFF"/>
      <name val="Montserrat"/>
    </font>
    <font>
      <b/>
      <sz val="16.0"/>
      <color rgb="FFF9F9F9"/>
      <name val="Proxima Nova"/>
    </font>
    <font>
      <b/>
      <sz val="11.0"/>
      <color rgb="FF000000"/>
      <name val="Proxima Nova"/>
    </font>
    <font>
      <b/>
      <sz val="6.0"/>
      <color rgb="FFF9F9F9"/>
      <name val="Open Sans"/>
    </font>
    <font>
      <b/>
      <sz val="6.0"/>
      <color rgb="FF353744"/>
      <name val="Proxima Nova"/>
    </font>
    <font>
      <sz val="12.0"/>
      <color rgb="FF353744"/>
      <name val="Proxima Nova"/>
    </font>
    <font>
      <sz val="11.0"/>
      <color rgb="FF000000"/>
      <name val="Inconsolata"/>
    </font>
    <font>
      <color theme="1"/>
      <name val="Arial"/>
    </font>
    <font/>
    <font>
      <b/>
      <sz val="14.0"/>
      <color rgb="FFFFFFFF"/>
      <name val="Montserrat"/>
    </font>
    <font>
      <b/>
      <color theme="1"/>
      <name val="Arial"/>
    </font>
    <font>
      <b/>
      <sz val="12.0"/>
      <color rgb="FF353744"/>
      <name val="Proxima Nova"/>
    </font>
    <font>
      <b/>
      <sz val="11.0"/>
      <color rgb="FF353744"/>
      <name val="Proxima Nova"/>
    </font>
    <font>
      <b/>
      <sz val="15.0"/>
      <color rgb="FFF9F9F9"/>
      <name val="Proxima Nova"/>
    </font>
    <font>
      <b/>
      <sz val="11.0"/>
      <color theme="1"/>
      <name val="Proxima Nova"/>
    </font>
    <font>
      <sz val="11.0"/>
      <color rgb="FF353744"/>
      <name val="Proxima Nova"/>
    </font>
    <font>
      <sz val="11.0"/>
      <color rgb="FF00225D"/>
      <name val="Proxima Nova"/>
    </font>
    <font>
      <u/>
      <color theme="1"/>
      <name val="Arial"/>
    </font>
    <font>
      <color rgb="FF0000FF"/>
      <name val="Arial"/>
    </font>
    <font>
      <sz val="12.0"/>
      <color theme="1"/>
      <name val="Calibri"/>
    </font>
    <font>
      <u/>
      <sz val="11.0"/>
      <color rgb="FF0000FF"/>
      <name val="Calibri"/>
    </font>
    <font>
      <sz val="11.0"/>
      <color theme="1"/>
      <name val="Calibri"/>
    </font>
    <font>
      <u/>
      <color rgb="FF0000FF"/>
      <name val="Arial"/>
    </font>
    <font>
      <b/>
      <sz val="12.0"/>
      <color rgb="FF353744"/>
      <name val="Calibri"/>
    </font>
    <font>
      <sz val="11.0"/>
      <color theme="1"/>
      <name val="Proxima Nova"/>
    </font>
    <font>
      <u/>
      <sz val="11.0"/>
      <color rgb="FF0000FF"/>
      <name val="Proxima Nova"/>
    </font>
    <font>
      <u/>
      <sz val="11.0"/>
      <color rgb="FF000000"/>
      <name val="Proxima Nova"/>
    </font>
    <font>
      <b/>
      <sz val="12.0"/>
      <color theme="1"/>
      <name val="Calibri"/>
    </font>
    <font>
      <i/>
      <sz val="8.0"/>
      <color rgb="FF777777"/>
      <name val="Arial"/>
    </font>
    <font>
      <u/>
      <color rgb="FF0000FF"/>
    </font>
    <font>
      <u/>
      <sz val="11.0"/>
      <color rgb="FF0000FF"/>
      <name val="Calibri"/>
    </font>
    <font>
      <b/>
      <color rgb="FF1A3C5E"/>
      <name val="Arial"/>
    </font>
    <font>
      <sz val="12.0"/>
      <color rgb="FF000000"/>
      <name val="Calibri"/>
    </font>
    <font>
      <u/>
      <sz val="12.0"/>
      <color rgb="FF000000"/>
      <name val="Calibri"/>
    </font>
    <font>
      <u/>
      <sz val="12.0"/>
      <color rgb="FF0563C1"/>
      <name val="Calibri"/>
    </font>
    <font>
      <u/>
      <sz val="12.0"/>
      <color theme="1"/>
      <name val="Calibri"/>
    </font>
    <font>
      <u/>
      <sz val="11.0"/>
      <color theme="1"/>
      <name val="Calibri"/>
    </font>
    <font>
      <u/>
      <sz val="11.0"/>
      <color rgb="FF000000"/>
      <name val="Calibri"/>
    </font>
    <font>
      <b/>
      <sz val="11.0"/>
      <color theme="0"/>
      <name val="Proxima Nova"/>
    </font>
    <font>
      <b/>
      <sz val="11.0"/>
      <color rgb="FFFFFFFF"/>
      <name val="Proxima Nova"/>
    </font>
    <font>
      <u/>
      <sz val="11.0"/>
      <color rgb="FF353744"/>
      <name val="Proxima Nova"/>
    </font>
    <font>
      <sz val="10.0"/>
      <color theme="1"/>
      <name val="Proxima Nova"/>
    </font>
    <font>
      <sz val="11.0"/>
      <color rgb="FF000000"/>
      <name val="Proxima Nova"/>
    </font>
    <font>
      <color theme="1"/>
      <name val="Proxima Nova"/>
    </font>
    <font>
      <b/>
      <u/>
      <color rgb="FF000000"/>
      <name val="Arial"/>
    </font>
    <font>
      <b/>
      <u/>
      <color rgb="FF0000FF"/>
      <name val="Arial"/>
    </font>
    <font>
      <b/>
      <color rgb="FFFFFFFF"/>
      <name val="Arial"/>
    </font>
    <font>
      <u/>
      <color rgb="FF1155CC"/>
      <name val="Arial"/>
    </font>
    <font>
      <u/>
      <color rgb="FF1155CC"/>
      <name val="Arial"/>
    </font>
    <font>
      <b/>
      <color rgb="FF000000"/>
      <name val="Arial"/>
    </font>
    <font>
      <color theme="1"/>
      <name val="Arial"/>
      <scheme val="minor"/>
    </font>
    <font>
      <u/>
      <color rgb="FF0000FF"/>
      <name val="Arial"/>
      <scheme val="minor"/>
    </font>
    <font>
      <b/>
      <u/>
      <color rgb="FF0000FF"/>
      <name val="Arial"/>
    </font>
    <font>
      <b/>
      <u/>
      <color rgb="FF0000FF"/>
      <name val="Arial"/>
    </font>
    <font>
      <color rgb="FF1F1F1F"/>
      <name val="Arial"/>
      <scheme val="minor"/>
    </font>
    <font>
      <u/>
      <color rgb="FF1155CC"/>
      <name val="Arial"/>
    </font>
    <font>
      <u/>
      <color rgb="FF1155CC"/>
      <name val="Arial"/>
    </font>
    <font>
      <u/>
      <color rgb="FF0000FF"/>
    </font>
    <font>
      <b/>
      <sz val="11.0"/>
      <color rgb="FFFFFFFF"/>
      <name val="Calibri"/>
    </font>
    <font>
      <color theme="1"/>
      <name val="Calibri"/>
    </font>
    <font>
      <sz val="9.0"/>
      <color theme="1"/>
      <name val="Consolas"/>
    </font>
    <font>
      <u/>
      <color rgb="FF0000FF"/>
      <name val="Arial"/>
    </font>
    <font>
      <color rgb="FF1155CC"/>
      <name val="Arial"/>
    </font>
    <font>
      <b/>
      <u/>
      <color rgb="FF000000"/>
      <name val="Arial"/>
    </font>
    <font>
      <sz val="11.0"/>
      <color rgb="FF353744"/>
      <name val="Open Sans"/>
    </font>
    <font>
      <b/>
      <sz val="10.0"/>
      <color theme="1"/>
      <name val="Arial"/>
    </font>
    <font>
      <sz val="10.0"/>
      <color theme="1"/>
      <name val="Arial"/>
    </font>
  </fonts>
  <fills count="24">
    <fill>
      <patternFill patternType="none"/>
    </fill>
    <fill>
      <patternFill patternType="lightGray"/>
    </fill>
    <fill>
      <patternFill patternType="solid">
        <fgColor rgb="FF427FE0"/>
        <bgColor rgb="FF427FE0"/>
      </patternFill>
    </fill>
    <fill>
      <patternFill patternType="solid">
        <fgColor theme="4"/>
        <bgColor theme="4"/>
      </patternFill>
    </fill>
    <fill>
      <patternFill patternType="solid">
        <fgColor rgb="FFFF5254"/>
        <bgColor rgb="FFFF5254"/>
      </patternFill>
    </fill>
    <fill>
      <patternFill patternType="solid">
        <fgColor rgb="FFF9F9F9"/>
        <bgColor rgb="FFF9F9F9"/>
      </patternFill>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F6F6F6"/>
        <bgColor rgb="FFF6F6F6"/>
      </patternFill>
    </fill>
    <fill>
      <patternFill patternType="solid">
        <fgColor rgb="FFEFEFEF"/>
        <bgColor rgb="FFEFEFEF"/>
      </patternFill>
    </fill>
    <fill>
      <patternFill patternType="solid">
        <fgColor rgb="FFD9E2F3"/>
        <bgColor rgb="FFD9E2F3"/>
      </patternFill>
    </fill>
    <fill>
      <patternFill patternType="solid">
        <fgColor rgb="FFE9E8E4"/>
        <bgColor rgb="FFE9E8E4"/>
      </patternFill>
    </fill>
    <fill>
      <patternFill patternType="solid">
        <fgColor rgb="FFBDBDBD"/>
        <bgColor rgb="FFBDBDBD"/>
      </patternFill>
    </fill>
    <fill>
      <patternFill patternType="solid">
        <fgColor rgb="FFA5A5A5"/>
        <bgColor rgb="FFA5A5A5"/>
      </patternFill>
    </fill>
    <fill>
      <patternFill patternType="solid">
        <fgColor rgb="FFD9EAD3"/>
        <bgColor rgb="FFD9EAD3"/>
      </patternFill>
    </fill>
    <fill>
      <patternFill patternType="solid">
        <fgColor rgb="FFFFF2CC"/>
        <bgColor rgb="FFFFF2CC"/>
      </patternFill>
    </fill>
    <fill>
      <patternFill patternType="solid">
        <fgColor rgb="FF417FE0"/>
        <bgColor rgb="FF417FE0"/>
      </patternFill>
    </fill>
    <fill>
      <patternFill patternType="solid">
        <fgColor rgb="FFFFFF00"/>
        <bgColor rgb="FFFFFF00"/>
      </patternFill>
    </fill>
    <fill>
      <patternFill patternType="solid">
        <fgColor rgb="FFF3F3F3"/>
        <bgColor rgb="FFF3F3F3"/>
      </patternFill>
    </fill>
    <fill>
      <patternFill patternType="solid">
        <fgColor rgb="FFF85255"/>
        <bgColor rgb="FFF85255"/>
      </patternFill>
    </fill>
    <fill>
      <patternFill patternType="solid">
        <fgColor rgb="FFD9D2E9"/>
        <bgColor rgb="FFD9D2E9"/>
      </patternFill>
    </fill>
    <fill>
      <patternFill patternType="solid">
        <fgColor rgb="FFCFE2F3"/>
        <bgColor rgb="FFCFE2F3"/>
      </patternFill>
    </fill>
    <fill>
      <patternFill patternType="solid">
        <fgColor rgb="FF1F2937"/>
        <bgColor rgb="FF1F2937"/>
      </patternFill>
    </fill>
  </fills>
  <borders count="27">
    <border/>
    <border>
      <left/>
      <right/>
      <top/>
      <bottom/>
    </border>
    <border>
      <left/>
      <right/>
      <top style="thin">
        <color rgb="FFF9F9F9"/>
      </top>
      <bottom/>
    </border>
    <border>
      <left/>
      <right/>
      <top/>
    </border>
    <border>
      <left/>
      <right/>
    </border>
    <border>
      <bottom style="thick">
        <color rgb="FF4A86E8"/>
      </bottom>
    </border>
    <border>
      <bottom style="thick">
        <color rgb="FF417FE0"/>
      </bottom>
    </border>
    <border>
      <bottom style="thick">
        <color rgb="FF4472C4"/>
      </bottom>
    </border>
    <border>
      <left style="thick">
        <color rgb="FF4A86E8"/>
      </left>
      <right style="thick">
        <color rgb="FF4472C4"/>
      </right>
      <bottom style="medium">
        <color rgb="FF9FC5E8"/>
      </bottom>
    </border>
    <border>
      <right style="thick">
        <color rgb="FF4472C4"/>
      </right>
    </border>
    <border>
      <left style="thick">
        <color rgb="FF4A86E8"/>
      </left>
      <right style="thick">
        <color rgb="FF4472C4"/>
      </right>
      <bottom style="medium">
        <color rgb="FF417FE0"/>
      </bottom>
    </border>
    <border>
      <bottom style="medium">
        <color rgb="FF417FE0"/>
      </bottom>
    </border>
    <border>
      <right style="thick">
        <color rgb="FF4472C4"/>
      </right>
      <bottom style="medium">
        <color rgb="FF417FE0"/>
      </bottom>
    </border>
    <border>
      <left style="thick">
        <color rgb="FF4A86E8"/>
      </left>
      <right style="thick">
        <color rgb="FF4472C4"/>
      </right>
    </border>
    <border>
      <left style="thick">
        <color rgb="FF4A86E8"/>
      </left>
      <right style="thick">
        <color rgb="FF4472C4"/>
      </right>
      <bottom style="thick">
        <color rgb="FF4A86E8"/>
      </bottom>
    </border>
    <border>
      <right style="thick">
        <color rgb="FF4472C4"/>
      </right>
      <bottom style="thick">
        <color rgb="FF417FE0"/>
      </bottom>
    </border>
    <border>
      <top style="thin">
        <color rgb="FFF9F9F9"/>
      </top>
    </border>
    <border>
      <left style="thin">
        <color rgb="FFCCCCCC"/>
      </left>
      <right style="thin">
        <color rgb="FFCCCCCC"/>
      </right>
      <top style="thin">
        <color rgb="FFCCCCCC"/>
      </top>
      <bottom style="thin">
        <color rgb="FFCCCCCC"/>
      </bottom>
    </border>
    <border>
      <right style="thin">
        <color rgb="FF00225D"/>
      </right>
    </border>
    <border>
      <left style="thin">
        <color rgb="FFEFEFEF"/>
      </left>
      <top style="thin">
        <color rgb="FFEFEFEF"/>
      </top>
      <bottom style="thin">
        <color rgb="FFEFEFEF"/>
      </bottom>
    </border>
    <border>
      <left style="thin">
        <color rgb="FFEFEFEF"/>
      </left>
      <bottom style="thin">
        <color rgb="FFEFEFEF"/>
      </bottom>
    </border>
    <border>
      <bottom style="thin">
        <color rgb="FFEFEFE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style="thin">
        <color rgb="FF778291"/>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left" shrinkToFit="0" vertical="center" wrapText="1"/>
    </xf>
    <xf borderId="2" fillId="3" fontId="2" numFmtId="0" xfId="0" applyAlignment="1" applyBorder="1" applyFill="1" applyFont="1">
      <alignment horizontal="left" shrinkToFit="0" vertical="center" wrapText="1"/>
    </xf>
    <xf borderId="3" fillId="4" fontId="3" numFmtId="0" xfId="0" applyAlignment="1" applyBorder="1" applyFill="1" applyFont="1">
      <alignment horizontal="center" shrinkToFit="0" textRotation="90" vertical="center" wrapText="1"/>
    </xf>
    <xf borderId="1" fillId="5" fontId="4" numFmtId="0" xfId="0" applyAlignment="1" applyBorder="1" applyFill="1" applyFont="1">
      <alignment horizontal="left" shrinkToFit="0" vertical="center" wrapText="1"/>
    </xf>
    <xf borderId="3" fillId="2" fontId="3" numFmtId="9" xfId="0" applyAlignment="1" applyBorder="1" applyFont="1" applyNumberFormat="1">
      <alignment horizontal="center" shrinkToFit="0" textRotation="90" vertical="center" wrapText="1"/>
    </xf>
    <xf borderId="1" fillId="3" fontId="5" numFmtId="9" xfId="0" applyAlignment="1" applyBorder="1" applyFont="1" applyNumberFormat="1">
      <alignment horizontal="center" shrinkToFit="0" vertical="center" wrapText="1"/>
    </xf>
    <xf borderId="4" fillId="4" fontId="3" numFmtId="0" xfId="0" applyAlignment="1" applyBorder="1" applyFont="1">
      <alignment horizontal="center" shrinkToFit="0" textRotation="90" vertical="center" wrapText="1"/>
    </xf>
    <xf borderId="3" fillId="5" fontId="6" numFmtId="0" xfId="0" applyAlignment="1" applyBorder="1" applyFont="1">
      <alignment vertical="top"/>
    </xf>
    <xf borderId="4" fillId="2" fontId="3" numFmtId="9" xfId="0" applyAlignment="1" applyBorder="1" applyFont="1" applyNumberFormat="1">
      <alignment horizontal="center" shrinkToFit="0" textRotation="90" vertical="center" wrapText="1"/>
    </xf>
    <xf borderId="1" fillId="3" fontId="5" numFmtId="0" xfId="0" applyAlignment="1" applyBorder="1" applyFont="1">
      <alignment horizontal="center" shrinkToFit="0" vertical="center" wrapText="1"/>
    </xf>
    <xf borderId="4" fillId="5" fontId="6" numFmtId="0" xfId="0" applyAlignment="1" applyBorder="1" applyFont="1">
      <alignment vertical="top"/>
    </xf>
    <xf borderId="0" fillId="0" fontId="7" numFmtId="0" xfId="0" applyAlignment="1" applyFont="1">
      <alignment horizontal="left"/>
    </xf>
    <xf borderId="0" fillId="6" fontId="8" numFmtId="0" xfId="0" applyFill="1" applyFont="1"/>
    <xf borderId="0" fillId="2" fontId="9" numFmtId="0" xfId="0" applyFont="1"/>
    <xf borderId="4" fillId="0" fontId="10" numFmtId="0" xfId="0" applyBorder="1" applyFont="1"/>
    <xf borderId="4" fillId="6" fontId="3" numFmtId="0" xfId="0" applyAlignment="1" applyBorder="1" applyFont="1">
      <alignment horizontal="center" shrinkToFit="0" textRotation="90" vertical="center" wrapText="1"/>
    </xf>
    <xf borderId="0" fillId="6" fontId="9" numFmtId="0" xfId="0" applyFont="1"/>
    <xf borderId="0" fillId="7" fontId="11" numFmtId="0" xfId="0" applyAlignment="1" applyFill="1" applyFont="1">
      <alignment vertical="bottom"/>
    </xf>
    <xf borderId="0" fillId="0" fontId="11" numFmtId="0" xfId="0" applyAlignment="1" applyFont="1">
      <alignment vertical="bottom"/>
    </xf>
    <xf borderId="0" fillId="0" fontId="9" numFmtId="0" xfId="0" applyAlignment="1" applyFont="1">
      <alignment vertical="bottom"/>
    </xf>
    <xf borderId="5" fillId="0" fontId="9" numFmtId="0" xfId="0" applyAlignment="1" applyBorder="1" applyFont="1">
      <alignment vertical="bottom"/>
    </xf>
    <xf borderId="6" fillId="0" fontId="9" numFmtId="0" xfId="0" applyAlignment="1" applyBorder="1" applyFont="1">
      <alignment vertical="bottom"/>
    </xf>
    <xf borderId="7" fillId="0" fontId="9" numFmtId="0" xfId="0" applyAlignment="1" applyBorder="1" applyFont="1">
      <alignment vertical="bottom"/>
    </xf>
    <xf borderId="0" fillId="8" fontId="12" numFmtId="0" xfId="0" applyAlignment="1" applyFill="1" applyFont="1">
      <alignment horizontal="center" vertical="bottom"/>
    </xf>
    <xf borderId="8" fillId="0" fontId="12" numFmtId="0" xfId="0" applyAlignment="1" applyBorder="1" applyFont="1">
      <alignment vertical="bottom"/>
    </xf>
    <xf borderId="0" fillId="9" fontId="9" numFmtId="0" xfId="0" applyAlignment="1" applyFill="1" applyFont="1">
      <alignment vertical="bottom"/>
    </xf>
    <xf borderId="9" fillId="0" fontId="9" numFmtId="0" xfId="0" applyAlignment="1" applyBorder="1" applyFont="1">
      <alignment vertical="bottom"/>
    </xf>
    <xf borderId="0" fillId="0" fontId="9" numFmtId="0" xfId="0" applyAlignment="1" applyFont="1">
      <alignment horizontal="center" shrinkToFit="0" vertical="center" wrapText="1"/>
    </xf>
    <xf borderId="0" fillId="6" fontId="9" numFmtId="0" xfId="0" applyAlignment="1" applyFont="1">
      <alignment vertical="bottom"/>
    </xf>
    <xf borderId="10" fillId="0" fontId="12" numFmtId="0" xfId="0" applyAlignment="1" applyBorder="1" applyFont="1">
      <alignment vertical="bottom"/>
    </xf>
    <xf borderId="11" fillId="6" fontId="9" numFmtId="0" xfId="0" applyAlignment="1" applyBorder="1" applyFont="1">
      <alignment vertical="bottom"/>
    </xf>
    <xf borderId="12" fillId="0" fontId="9" numFmtId="0" xfId="0" applyAlignment="1" applyBorder="1" applyFont="1">
      <alignment vertical="bottom"/>
    </xf>
    <xf borderId="13" fillId="0" fontId="12" numFmtId="0" xfId="0" applyAlignment="1" applyBorder="1" applyFont="1">
      <alignment horizontal="left" vertical="center"/>
    </xf>
    <xf borderId="13" fillId="0" fontId="10" numFmtId="0" xfId="0" applyBorder="1" applyFont="1"/>
    <xf borderId="14" fillId="0" fontId="10" numFmtId="0" xfId="0" applyBorder="1" applyFont="1"/>
    <xf borderId="6" fillId="6" fontId="9" numFmtId="0" xfId="0" applyAlignment="1" applyBorder="1" applyFont="1">
      <alignment vertical="bottom"/>
    </xf>
    <xf borderId="15" fillId="0" fontId="9" numFmtId="0" xfId="0" applyAlignment="1" applyBorder="1" applyFont="1">
      <alignment vertical="bottom"/>
    </xf>
    <xf borderId="0" fillId="0" fontId="12" numFmtId="0" xfId="0" applyAlignment="1" applyFont="1">
      <alignment horizontal="left" vertical="center"/>
    </xf>
    <xf borderId="0" fillId="2" fontId="9" numFmtId="0" xfId="0" applyAlignment="1" applyFont="1">
      <alignment vertical="top"/>
    </xf>
    <xf borderId="0" fillId="2" fontId="9" numFmtId="164" xfId="0" applyAlignment="1" applyFont="1" applyNumberFormat="1">
      <alignment vertical="top"/>
    </xf>
    <xf borderId="16" fillId="2" fontId="1" numFmtId="0" xfId="0" applyAlignment="1" applyBorder="1" applyFont="1">
      <alignment readingOrder="0" shrinkToFit="0" vertical="top" wrapText="1"/>
    </xf>
    <xf borderId="17" fillId="2" fontId="9" numFmtId="0" xfId="0" applyAlignment="1" applyBorder="1" applyFont="1">
      <alignment vertical="top"/>
    </xf>
    <xf borderId="16" fillId="2" fontId="1" numFmtId="0" xfId="0" applyAlignment="1" applyBorder="1" applyFont="1">
      <alignment shrinkToFit="0" vertical="top" wrapText="1"/>
    </xf>
    <xf borderId="16" fillId="10" fontId="9" numFmtId="0" xfId="0" applyAlignment="1" applyBorder="1" applyFill="1" applyFont="1">
      <alignment vertical="top"/>
    </xf>
    <xf borderId="0" fillId="0" fontId="9" numFmtId="0" xfId="0" applyAlignment="1" applyFont="1">
      <alignment vertical="top"/>
    </xf>
    <xf borderId="0" fillId="11" fontId="9" numFmtId="0" xfId="0" applyAlignment="1" applyFill="1" applyFont="1">
      <alignment horizontal="center" vertical="top"/>
    </xf>
    <xf borderId="0" fillId="11" fontId="9" numFmtId="164" xfId="0" applyAlignment="1" applyFont="1" applyNumberFormat="1">
      <alignment horizontal="center" vertical="top"/>
    </xf>
    <xf borderId="0" fillId="11" fontId="13" numFmtId="0" xfId="0" applyAlignment="1" applyFont="1">
      <alignment horizontal="center" shrinkToFit="0" vertical="top" wrapText="1"/>
    </xf>
    <xf borderId="17" fillId="11" fontId="13" numFmtId="0" xfId="0" applyAlignment="1" applyBorder="1" applyFont="1">
      <alignment horizontal="center" shrinkToFit="0" vertical="top" wrapText="1"/>
    </xf>
    <xf borderId="18" fillId="11" fontId="14" numFmtId="0" xfId="0" applyAlignment="1" applyBorder="1" applyFont="1">
      <alignment horizontal="center" shrinkToFit="0" vertical="top" wrapText="1"/>
    </xf>
    <xf borderId="17" fillId="11" fontId="13" numFmtId="0" xfId="0" applyAlignment="1" applyBorder="1" applyFont="1">
      <alignment horizontal="center" readingOrder="0" shrinkToFit="0" vertical="top" wrapText="1"/>
    </xf>
    <xf borderId="0" fillId="0" fontId="9" numFmtId="0" xfId="0" applyAlignment="1" applyFont="1">
      <alignment horizontal="center" vertical="top"/>
    </xf>
    <xf borderId="0" fillId="4" fontId="15" numFmtId="0" xfId="0" applyAlignment="1" applyFont="1">
      <alignment horizontal="center" shrinkToFit="0" textRotation="90" vertical="top" wrapText="1"/>
    </xf>
    <xf borderId="0" fillId="12" fontId="14" numFmtId="164" xfId="0" applyAlignment="1" applyFill="1" applyFont="1" applyNumberFormat="1">
      <alignment horizontal="left" shrinkToFit="0" vertical="top" wrapText="1"/>
    </xf>
    <xf borderId="19" fillId="13" fontId="16" numFmtId="0" xfId="0" applyAlignment="1" applyBorder="1" applyFill="1" applyFont="1">
      <alignment vertical="top"/>
    </xf>
    <xf borderId="17" fillId="14" fontId="9" numFmtId="0" xfId="0" applyAlignment="1" applyBorder="1" applyFill="1" applyFont="1">
      <alignment vertical="top"/>
    </xf>
    <xf borderId="0" fillId="14" fontId="9" numFmtId="0" xfId="0" applyAlignment="1" applyFont="1">
      <alignment shrinkToFit="0" vertical="top" wrapText="1"/>
    </xf>
    <xf borderId="0" fillId="12" fontId="17" numFmtId="164" xfId="0" applyAlignment="1" applyFont="1" applyNumberFormat="1">
      <alignment horizontal="right" shrinkToFit="0" vertical="top" wrapText="1"/>
    </xf>
    <xf borderId="20" fillId="0" fontId="18" numFmtId="0" xfId="0" applyAlignment="1" applyBorder="1" applyFont="1">
      <alignment vertical="top"/>
    </xf>
    <xf borderId="17" fillId="15" fontId="16" numFmtId="0" xfId="0" applyAlignment="1" applyBorder="1" applyFill="1" applyFont="1">
      <alignment horizontal="center" readingOrder="0" shrinkToFit="0" vertical="top" wrapText="1"/>
    </xf>
    <xf borderId="0" fillId="0" fontId="9" numFmtId="0" xfId="0" applyAlignment="1" applyFont="1">
      <alignment shrinkToFit="0" vertical="top" wrapText="1"/>
    </xf>
    <xf borderId="0" fillId="0" fontId="19" numFmtId="0" xfId="0" applyAlignment="1" applyFont="1">
      <alignment shrinkToFit="0" vertical="top" wrapText="1"/>
    </xf>
    <xf borderId="17" fillId="16" fontId="16" numFmtId="0" xfId="0" applyAlignment="1" applyBorder="1" applyFill="1" applyFont="1">
      <alignment horizontal="center" readingOrder="0" shrinkToFit="0" vertical="top" wrapText="1"/>
    </xf>
    <xf borderId="0" fillId="0" fontId="20" numFmtId="0" xfId="0" applyAlignment="1" applyFont="1">
      <alignment shrinkToFit="0" vertical="top" wrapText="1"/>
    </xf>
    <xf borderId="0" fillId="13" fontId="16" numFmtId="0" xfId="0" applyAlignment="1" applyFont="1">
      <alignment vertical="top"/>
    </xf>
    <xf borderId="17" fillId="13" fontId="9" numFmtId="0" xfId="0" applyAlignment="1" applyBorder="1" applyFont="1">
      <alignment vertical="top"/>
    </xf>
    <xf borderId="0" fillId="13" fontId="9" numFmtId="0" xfId="0" applyAlignment="1" applyFont="1">
      <alignment shrinkToFit="0" vertical="top" wrapText="1"/>
    </xf>
    <xf borderId="0" fillId="0" fontId="18" numFmtId="0" xfId="0" applyAlignment="1" applyFont="1">
      <alignment vertical="top"/>
    </xf>
    <xf borderId="0" fillId="0" fontId="21" numFmtId="0" xfId="0" applyAlignment="1" applyFont="1">
      <alignment vertical="top"/>
    </xf>
    <xf borderId="21" fillId="0" fontId="18" numFmtId="0" xfId="0" applyAlignment="1" applyBorder="1" applyFont="1">
      <alignment vertical="top"/>
    </xf>
    <xf borderId="20" fillId="13" fontId="16" numFmtId="0" xfId="0" applyAlignment="1" applyBorder="1" applyFont="1">
      <alignment vertical="top"/>
    </xf>
    <xf borderId="17" fillId="16" fontId="16" numFmtId="0" xfId="0" applyAlignment="1" applyBorder="1" applyFont="1">
      <alignment horizontal="center" shrinkToFit="0" vertical="top" wrapText="1"/>
    </xf>
    <xf borderId="0" fillId="0" fontId="22" numFmtId="0" xfId="0" applyAlignment="1" applyFont="1">
      <alignment shrinkToFit="0" vertical="top" wrapText="1"/>
    </xf>
    <xf borderId="0" fillId="0" fontId="23" numFmtId="0" xfId="0" applyAlignment="1" applyFont="1">
      <alignment shrinkToFit="0" vertical="top" wrapText="1"/>
    </xf>
    <xf borderId="0" fillId="0" fontId="24" numFmtId="0" xfId="0" applyAlignment="1" applyFont="1">
      <alignment shrinkToFit="0" vertical="top" wrapText="1"/>
    </xf>
    <xf borderId="0" fillId="0" fontId="9" numFmtId="0" xfId="0" applyAlignment="1" applyFont="1">
      <alignment readingOrder="0" vertical="top"/>
    </xf>
    <xf borderId="17" fillId="15" fontId="16" numFmtId="0" xfId="0" applyAlignment="1" applyBorder="1" applyFont="1">
      <alignment horizontal="center" shrinkToFit="0" vertical="top" wrapText="1"/>
    </xf>
    <xf borderId="0" fillId="13" fontId="25" numFmtId="0" xfId="0" applyAlignment="1" applyFont="1">
      <alignment vertical="top"/>
    </xf>
    <xf borderId="0" fillId="0" fontId="26" numFmtId="0" xfId="0" applyAlignment="1" applyFont="1">
      <alignment vertical="top"/>
    </xf>
    <xf borderId="0" fillId="0" fontId="27" numFmtId="0" xfId="0" applyAlignment="1" applyFont="1">
      <alignment vertical="top"/>
    </xf>
    <xf borderId="0" fillId="17" fontId="15" numFmtId="0" xfId="0" applyAlignment="1" applyFill="1" applyFont="1">
      <alignment horizontal="center" shrinkToFit="0" textRotation="90" vertical="top" wrapText="1"/>
    </xf>
    <xf borderId="0" fillId="13" fontId="16" numFmtId="0" xfId="0" applyAlignment="1" applyFont="1">
      <alignment readingOrder="0" vertical="top"/>
    </xf>
    <xf borderId="0" fillId="0" fontId="26" numFmtId="0" xfId="0" applyAlignment="1" applyFont="1">
      <alignment readingOrder="0" vertical="top"/>
    </xf>
    <xf borderId="0" fillId="12" fontId="16" numFmtId="164" xfId="0" applyAlignment="1" applyFont="1" applyNumberFormat="1">
      <alignment horizontal="left" vertical="top"/>
    </xf>
    <xf borderId="0" fillId="13" fontId="16" numFmtId="0" xfId="0" applyAlignment="1" applyFont="1">
      <alignment shrinkToFit="0" vertical="top" wrapText="1"/>
    </xf>
    <xf borderId="0" fillId="6" fontId="28" numFmtId="0" xfId="0" applyAlignment="1" applyFont="1">
      <alignment shrinkToFit="0" vertical="top" wrapText="1"/>
    </xf>
    <xf borderId="0" fillId="6" fontId="17" numFmtId="0" xfId="0" applyAlignment="1" applyFont="1">
      <alignment shrinkToFit="0" vertical="top" wrapText="1"/>
    </xf>
    <xf borderId="0" fillId="0" fontId="17" numFmtId="0" xfId="0" applyAlignment="1" applyFont="1">
      <alignment shrinkToFit="0" vertical="top" wrapText="1"/>
    </xf>
    <xf borderId="0" fillId="18" fontId="17" numFmtId="0" xfId="0" applyAlignment="1" applyFill="1" applyFont="1">
      <alignment shrinkToFit="0" vertical="top" wrapText="1"/>
    </xf>
    <xf borderId="0" fillId="13" fontId="29" numFmtId="0" xfId="0" applyAlignment="1" applyFont="1">
      <alignment vertical="top"/>
    </xf>
    <xf borderId="0" fillId="19" fontId="17" numFmtId="0" xfId="0" applyAlignment="1" applyFill="1" applyFont="1">
      <alignment shrinkToFit="0" vertical="top" wrapText="1"/>
    </xf>
    <xf borderId="0" fillId="12" fontId="14" numFmtId="164" xfId="0" applyAlignment="1" applyFont="1" applyNumberFormat="1">
      <alignment horizontal="left" readingOrder="0" shrinkToFit="0" vertical="top" wrapText="1"/>
    </xf>
    <xf borderId="0" fillId="13" fontId="16" numFmtId="0" xfId="0" applyAlignment="1" applyFont="1">
      <alignment readingOrder="0" shrinkToFit="0" vertical="top" wrapText="1"/>
    </xf>
    <xf borderId="0" fillId="12" fontId="17" numFmtId="164" xfId="0" applyAlignment="1" applyFont="1" applyNumberFormat="1">
      <alignment horizontal="right" readingOrder="0" shrinkToFit="0" vertical="top" wrapText="1"/>
    </xf>
    <xf borderId="0" fillId="0" fontId="30" numFmtId="0" xfId="0" applyAlignment="1" applyFont="1">
      <alignment readingOrder="0" vertical="top"/>
    </xf>
    <xf borderId="0" fillId="20" fontId="15" numFmtId="0" xfId="0" applyAlignment="1" applyFill="1" applyFont="1">
      <alignment horizontal="center" shrinkToFit="0" textRotation="90" vertical="top" wrapText="1"/>
    </xf>
    <xf borderId="0" fillId="0" fontId="31" numFmtId="0" xfId="0" applyAlignment="1" applyFont="1">
      <alignment shrinkToFit="0" vertical="top" wrapText="1"/>
    </xf>
    <xf borderId="0" fillId="0" fontId="32" numFmtId="0" xfId="0" applyAlignment="1" applyFont="1">
      <alignment shrinkToFit="0" vertical="top" wrapText="1"/>
    </xf>
    <xf borderId="0" fillId="12" fontId="16" numFmtId="164" xfId="0" applyAlignment="1" applyFont="1" applyNumberFormat="1">
      <alignment horizontal="left" readingOrder="0" vertical="top"/>
    </xf>
    <xf borderId="22" fillId="21" fontId="33" numFmtId="0" xfId="0" applyAlignment="1" applyBorder="1" applyFill="1" applyFont="1">
      <alignment horizontal="left" vertical="center"/>
    </xf>
    <xf borderId="23" fillId="0" fontId="10" numFmtId="0" xfId="0" applyBorder="1" applyFont="1"/>
    <xf borderId="23" fillId="0" fontId="33" numFmtId="0" xfId="0" applyAlignment="1" applyBorder="1" applyFont="1">
      <alignment horizontal="center" shrinkToFit="0" wrapText="0"/>
    </xf>
    <xf borderId="24" fillId="0" fontId="33" numFmtId="0" xfId="0" applyAlignment="1" applyBorder="1" applyFont="1">
      <alignment horizontal="center"/>
    </xf>
    <xf borderId="0" fillId="0" fontId="26" numFmtId="0" xfId="0" applyAlignment="1" applyFont="1">
      <alignment horizontal="left" vertical="center"/>
    </xf>
    <xf borderId="17" fillId="0" fontId="9" numFmtId="0" xfId="0" applyAlignment="1" applyBorder="1" applyFont="1">
      <alignment readingOrder="0"/>
    </xf>
    <xf borderId="0" fillId="0" fontId="30" numFmtId="0" xfId="0" applyAlignment="1" applyFont="1">
      <alignment readingOrder="0" shrinkToFit="0" vertical="top" wrapText="0"/>
    </xf>
    <xf borderId="23" fillId="0" fontId="33" numFmtId="0" xfId="0" applyAlignment="1" applyBorder="1" applyFont="1">
      <alignment horizontal="center"/>
    </xf>
    <xf borderId="0" fillId="0" fontId="9" numFmtId="0" xfId="0" applyAlignment="1" applyFont="1">
      <alignment shrinkToFit="0" vertical="top" wrapText="0"/>
    </xf>
    <xf borderId="17" fillId="13" fontId="16" numFmtId="0" xfId="0" applyAlignment="1" applyBorder="1" applyFont="1">
      <alignment horizontal="center" shrinkToFit="0" vertical="top" wrapText="1"/>
    </xf>
    <xf borderId="0" fillId="0" fontId="9" numFmtId="0" xfId="0" applyAlignment="1" applyFont="1">
      <alignment readingOrder="0" shrinkToFit="0" vertical="top" wrapText="1"/>
    </xf>
    <xf borderId="0" fillId="6" fontId="34" numFmtId="0" xfId="0" applyAlignment="1" applyFont="1">
      <alignment shrinkToFit="0" vertical="top" wrapText="1"/>
    </xf>
    <xf borderId="0" fillId="6" fontId="35" numFmtId="0" xfId="0" applyAlignment="1" applyFont="1">
      <alignment shrinkToFit="0" vertical="top" wrapText="1"/>
    </xf>
    <xf borderId="0" fillId="0" fontId="36" numFmtId="0" xfId="0" applyAlignment="1" applyFont="1">
      <alignment vertical="top"/>
    </xf>
    <xf borderId="0" fillId="0" fontId="37" numFmtId="0" xfId="0" applyAlignment="1" applyFont="1">
      <alignment vertical="top"/>
    </xf>
    <xf borderId="0" fillId="18" fontId="21" numFmtId="0" xfId="0" applyAlignment="1" applyFont="1">
      <alignment vertical="top"/>
    </xf>
    <xf borderId="0" fillId="0" fontId="38" numFmtId="0" xfId="0" applyAlignment="1" applyFont="1">
      <alignment shrinkToFit="0" vertical="top" wrapText="1"/>
    </xf>
    <xf borderId="0" fillId="0" fontId="39" numFmtId="0" xfId="0" applyAlignment="1" applyFont="1">
      <alignment shrinkToFit="0" vertical="top" wrapText="1"/>
    </xf>
    <xf borderId="0" fillId="0" fontId="9" numFmtId="164" xfId="0" applyAlignment="1" applyFont="1" applyNumberFormat="1">
      <alignment vertical="top"/>
    </xf>
    <xf borderId="17" fillId="0" fontId="9" numFmtId="0" xfId="0" applyAlignment="1" applyBorder="1" applyFont="1">
      <alignment vertical="top"/>
    </xf>
    <xf borderId="0" fillId="0" fontId="9" numFmtId="0" xfId="0" applyFont="1"/>
    <xf borderId="25" fillId="17" fontId="40" numFmtId="0" xfId="0" applyAlignment="1" applyBorder="1" applyFont="1">
      <alignment horizontal="center" shrinkToFit="0" vertical="center" wrapText="1"/>
    </xf>
    <xf borderId="25" fillId="17" fontId="40" numFmtId="0" xfId="0" applyAlignment="1" applyBorder="1" applyFont="1">
      <alignment horizontal="center" shrinkToFit="0" vertical="center" wrapText="1"/>
    </xf>
    <xf borderId="25" fillId="17" fontId="41" numFmtId="0" xfId="0" applyAlignment="1" applyBorder="1" applyFont="1">
      <alignment horizontal="center" shrinkToFit="0" vertical="center" wrapText="1"/>
    </xf>
    <xf borderId="0" fillId="17" fontId="41" numFmtId="0" xfId="0" applyAlignment="1" applyFont="1">
      <alignment horizontal="center" shrinkToFit="0" vertical="center" wrapText="1"/>
    </xf>
    <xf borderId="0" fillId="17" fontId="41" numFmtId="0" xfId="0" applyAlignment="1" applyFont="1">
      <alignment horizontal="center" readingOrder="0" shrinkToFit="0" vertical="center" wrapText="1"/>
    </xf>
    <xf borderId="1" fillId="12" fontId="17" numFmtId="164" xfId="0" applyAlignment="1" applyBorder="1" applyFont="1" applyNumberFormat="1">
      <alignment horizontal="left" shrinkToFit="0" vertical="center" wrapText="1"/>
    </xf>
    <xf borderId="0" fillId="0" fontId="26" numFmtId="0" xfId="0" applyAlignment="1" applyFont="1">
      <alignment horizontal="left" shrinkToFit="0" vertical="top" wrapText="1"/>
    </xf>
    <xf borderId="0" fillId="0" fontId="42" numFmtId="0" xfId="0" applyAlignment="1" applyFont="1">
      <alignment horizontal="left" shrinkToFit="0" vertical="center" wrapText="1"/>
    </xf>
    <xf borderId="0" fillId="0" fontId="17" numFmtId="0" xfId="0" applyAlignment="1" applyFont="1">
      <alignment horizontal="center" readingOrder="0" shrinkToFit="0" vertical="center" wrapText="1"/>
    </xf>
    <xf borderId="0" fillId="0" fontId="43" numFmtId="0" xfId="0" applyAlignment="1" applyFont="1">
      <alignment horizontal="center" readingOrder="0" shrinkToFit="0" vertical="center" wrapText="1"/>
    </xf>
    <xf borderId="0" fillId="0" fontId="43" numFmtId="0" xfId="0" applyAlignment="1" applyFont="1">
      <alignment horizontal="center" shrinkToFit="0" vertical="center" wrapText="1"/>
    </xf>
    <xf borderId="1" fillId="12" fontId="17" numFmtId="0" xfId="0" applyAlignment="1" applyBorder="1" applyFont="1">
      <alignment horizontal="left" shrinkToFit="0" vertical="center" wrapText="1"/>
    </xf>
    <xf borderId="0" fillId="0" fontId="17" numFmtId="0" xfId="0" applyAlignment="1" applyFont="1">
      <alignment horizontal="left" shrinkToFit="0" vertical="center" wrapText="1"/>
    </xf>
    <xf borderId="0" fillId="0" fontId="17" numFmtId="0" xfId="0" applyAlignment="1" applyFont="1">
      <alignment horizontal="center" shrinkToFit="0" vertical="center" wrapText="1"/>
    </xf>
    <xf borderId="0" fillId="0" fontId="44" numFmtId="0" xfId="0" applyAlignment="1" applyFont="1">
      <alignment horizontal="left" shrinkToFit="0" vertical="top" wrapText="1"/>
    </xf>
    <xf borderId="0" fillId="0" fontId="43" numFmtId="0" xfId="0" applyAlignment="1" applyFont="1">
      <alignment horizontal="center" shrinkToFit="0" wrapText="1"/>
    </xf>
    <xf borderId="0" fillId="0" fontId="45" numFmtId="0" xfId="0" applyAlignment="1" applyFont="1">
      <alignment horizontal="right" shrinkToFit="0" wrapText="1"/>
    </xf>
    <xf borderId="0" fillId="0" fontId="45" numFmtId="0" xfId="0" applyAlignment="1" applyFont="1">
      <alignment horizontal="right" shrinkToFit="0" wrapText="1"/>
    </xf>
    <xf borderId="0" fillId="22" fontId="46" numFmtId="0" xfId="0" applyAlignment="1" applyFill="1" applyFont="1">
      <alignment horizontal="center" vertical="top"/>
    </xf>
    <xf borderId="0" fillId="22" fontId="47" numFmtId="0" xfId="0" applyAlignment="1" applyFont="1">
      <alignment horizontal="center" readingOrder="0" vertical="center"/>
    </xf>
    <xf borderId="0" fillId="22" fontId="12" numFmtId="0" xfId="0" applyAlignment="1" applyFont="1">
      <alignment horizontal="center" vertical="center"/>
    </xf>
    <xf borderId="0" fillId="17" fontId="48" numFmtId="0" xfId="0" applyAlignment="1" applyFont="1">
      <alignment horizontal="center" vertical="top"/>
    </xf>
    <xf borderId="0" fillId="0" fontId="9" numFmtId="0" xfId="0" applyAlignment="1" applyFont="1">
      <alignment horizontal="left" readingOrder="0" shrinkToFit="0" vertical="center" wrapText="1"/>
    </xf>
    <xf borderId="0" fillId="0" fontId="4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readingOrder="0" vertical="bottom"/>
    </xf>
    <xf borderId="0" fillId="0" fontId="50" numFmtId="0" xfId="0" applyAlignment="1" applyFont="1">
      <alignment vertical="top"/>
    </xf>
    <xf borderId="0" fillId="22" fontId="51" numFmtId="0" xfId="0" applyAlignment="1" applyFont="1">
      <alignment horizontal="left" vertical="top"/>
    </xf>
    <xf borderId="0" fillId="22" fontId="51" numFmtId="0" xfId="0" applyAlignment="1" applyFont="1">
      <alignment horizontal="center" vertical="top"/>
    </xf>
    <xf borderId="0" fillId="17" fontId="48" numFmtId="0" xfId="0" applyAlignment="1" applyFont="1">
      <alignment horizontal="center" readingOrder="0" vertical="top"/>
    </xf>
    <xf borderId="0" fillId="17" fontId="48" numFmtId="0" xfId="0" applyAlignment="1" applyFont="1">
      <alignment horizontal="left" readingOrder="0" vertical="top"/>
    </xf>
    <xf borderId="0" fillId="0" fontId="9" numFmtId="0" xfId="0" applyAlignment="1" applyFont="1">
      <alignment horizontal="center" readingOrder="0" vertical="center"/>
    </xf>
    <xf borderId="0" fillId="0" fontId="9" numFmtId="0" xfId="0" applyAlignment="1" applyFont="1">
      <alignment readingOrder="0" shrinkToFit="0" vertical="center" wrapText="1"/>
    </xf>
    <xf borderId="0" fillId="0" fontId="52" numFmtId="0" xfId="0" applyAlignment="1" applyFont="1">
      <alignment horizontal="center" readingOrder="0"/>
    </xf>
    <xf borderId="0" fillId="0" fontId="52" numFmtId="0" xfId="0" applyAlignment="1" applyFont="1">
      <alignment readingOrder="0" shrinkToFit="0" vertical="center" wrapText="1"/>
    </xf>
    <xf borderId="0" fillId="0" fontId="52" numFmtId="0" xfId="0" applyAlignment="1" applyFont="1">
      <alignment readingOrder="0" vertical="center"/>
    </xf>
    <xf borderId="0" fillId="0" fontId="53" numFmtId="0" xfId="0" applyAlignment="1" applyFont="1">
      <alignment horizontal="center" readingOrder="0" vertical="center"/>
    </xf>
    <xf borderId="0" fillId="22" fontId="54" numFmtId="0" xfId="0" applyAlignment="1" applyFont="1">
      <alignment horizontal="center" vertical="center"/>
    </xf>
    <xf borderId="0" fillId="22" fontId="9" numFmtId="0" xfId="0" applyFont="1"/>
    <xf borderId="0" fillId="0" fontId="34" numFmtId="0" xfId="0" applyAlignment="1" applyFont="1">
      <alignment readingOrder="0" shrinkToFit="0" vertical="bottom" wrapText="0"/>
    </xf>
    <xf borderId="0" fillId="0" fontId="34" numFmtId="0" xfId="0" applyAlignment="1" applyFont="1">
      <alignment readingOrder="0" shrinkToFit="0" vertical="center" wrapText="1"/>
    </xf>
    <xf borderId="0" fillId="0" fontId="34" numFmtId="0" xfId="0" applyAlignment="1" applyFont="1">
      <alignment shrinkToFit="0" vertical="bottom" wrapText="0"/>
    </xf>
    <xf borderId="0" fillId="0" fontId="9" numFmtId="0" xfId="0" applyAlignment="1" applyFont="1">
      <alignment horizontal="left" readingOrder="0" shrinkToFit="0" vertical="center" wrapText="1"/>
    </xf>
    <xf borderId="0" fillId="0" fontId="9" numFmtId="0" xfId="0" applyAlignment="1" applyFont="1">
      <alignment readingOrder="0" vertical="center"/>
    </xf>
    <xf borderId="0" fillId="22" fontId="12" numFmtId="0" xfId="0" applyAlignment="1" applyFont="1">
      <alignment horizontal="center"/>
    </xf>
    <xf borderId="0" fillId="22" fontId="55" numFmtId="0" xfId="0" applyAlignment="1" applyFont="1">
      <alignment horizontal="center" shrinkToFit="0" vertical="center" wrapText="1"/>
    </xf>
    <xf borderId="0" fillId="22" fontId="12" numFmtId="0" xfId="0" applyAlignment="1" applyFont="1">
      <alignment shrinkToFit="0" wrapText="0"/>
    </xf>
    <xf borderId="0" fillId="0" fontId="9" numFmtId="0" xfId="0" applyAlignment="1" applyFont="1">
      <alignment horizontal="center"/>
    </xf>
    <xf borderId="0" fillId="0" fontId="9" numFmtId="0" xfId="0" applyAlignment="1" applyFont="1">
      <alignment readingOrder="0"/>
    </xf>
    <xf borderId="0" fillId="22" fontId="12" numFmtId="0" xfId="0" applyAlignment="1" applyFont="1">
      <alignment horizontal="center" shrinkToFit="0" vertical="center" wrapText="1"/>
    </xf>
    <xf borderId="0" fillId="0" fontId="56" numFmtId="0" xfId="0" applyAlignment="1" applyFont="1">
      <alignment readingOrder="0"/>
    </xf>
    <xf borderId="0" fillId="0" fontId="9" numFmtId="0" xfId="0" applyAlignment="1" applyFont="1">
      <alignment horizontal="center" readingOrder="0"/>
    </xf>
    <xf borderId="0" fillId="0" fontId="57" numFmtId="0" xfId="0" applyAlignment="1" applyFont="1">
      <alignment vertical="bottom"/>
    </xf>
    <xf borderId="0" fillId="0" fontId="58" numFmtId="0" xfId="0" applyAlignment="1" applyFont="1">
      <alignment vertical="bottom"/>
    </xf>
    <xf borderId="0" fillId="0" fontId="9" numFmtId="0" xfId="0" applyAlignment="1" applyFont="1">
      <alignment vertical="bottom"/>
    </xf>
    <xf borderId="0" fillId="22" fontId="51" numFmtId="0" xfId="0" applyAlignment="1" applyFont="1">
      <alignment horizontal="center" shrinkToFit="0" vertical="center" wrapText="1"/>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shrinkToFit="0" vertical="center" wrapText="1"/>
    </xf>
    <xf borderId="0" fillId="0" fontId="9" numFmtId="0" xfId="0" applyAlignment="1" applyFont="1">
      <alignment shrinkToFit="0" wrapText="1"/>
    </xf>
    <xf borderId="0" fillId="0" fontId="44" numFmtId="0" xfId="0" applyAlignment="1" applyFont="1">
      <alignment horizontal="center" shrinkToFit="0" vertical="center" wrapText="1"/>
    </xf>
    <xf borderId="0" fillId="0" fontId="44" numFmtId="0" xfId="0" applyAlignment="1" applyFont="1">
      <alignment horizontal="center" readingOrder="0" shrinkToFit="0" vertical="center" wrapText="1"/>
    </xf>
    <xf borderId="0" fillId="22" fontId="12" numFmtId="0" xfId="0" applyAlignment="1" applyFont="1">
      <alignment horizontal="center" vertical="center"/>
    </xf>
    <xf borderId="0" fillId="0" fontId="9" numFmtId="0" xfId="0" applyAlignment="1" applyFont="1">
      <alignment readingOrder="0" vertical="center"/>
    </xf>
    <xf borderId="0" fillId="0" fontId="52" numFmtId="0" xfId="0" applyAlignment="1" applyFont="1">
      <alignment readingOrder="0" shrinkToFit="0" wrapText="1"/>
    </xf>
    <xf borderId="0" fillId="0" fontId="59" numFmtId="0" xfId="0" applyAlignment="1" applyFont="1">
      <alignment readingOrder="0" shrinkToFit="0" vertical="top" wrapText="1"/>
    </xf>
    <xf borderId="26" fillId="23" fontId="60" numFmtId="0" xfId="0" applyAlignment="1" applyBorder="1" applyFill="1" applyFont="1">
      <alignment horizontal="center" shrinkToFit="0" wrapText="1"/>
    </xf>
    <xf borderId="26" fillId="0" fontId="61" numFmtId="0" xfId="0" applyAlignment="1" applyBorder="1" applyFont="1">
      <alignment shrinkToFit="0" vertical="top" wrapText="1"/>
    </xf>
    <xf borderId="26" fillId="0" fontId="62" numFmtId="0" xfId="0" applyAlignment="1" applyBorder="1" applyFont="1">
      <alignment shrinkToFit="0" vertical="top" wrapText="1"/>
    </xf>
    <xf borderId="26" fillId="0" fontId="61" numFmtId="0" xfId="0" applyAlignment="1" applyBorder="1" applyFont="1">
      <alignment shrinkToFit="0" vertical="top" wrapText="1"/>
    </xf>
    <xf borderId="26" fillId="0" fontId="62" numFmtId="0" xfId="0" applyAlignment="1" applyBorder="1" applyFont="1">
      <alignment readingOrder="0" shrinkToFit="0" vertical="top" wrapText="1"/>
    </xf>
    <xf borderId="26" fillId="0" fontId="23" numFmtId="0" xfId="0" applyAlignment="1" applyBorder="1" applyFont="1">
      <alignment vertical="top"/>
    </xf>
    <xf borderId="0" fillId="0" fontId="23" numFmtId="0" xfId="0" applyAlignment="1" applyFont="1">
      <alignment vertical="bottom"/>
    </xf>
    <xf borderId="0" fillId="17" fontId="48" numFmtId="0" xfId="0" applyAlignment="1" applyFont="1">
      <alignment horizontal="center" shrinkToFit="0" vertical="top" wrapText="1"/>
    </xf>
    <xf borderId="0" fillId="0" fontId="63" numFmtId="0" xfId="0" applyAlignment="1" applyFont="1">
      <alignment readingOrder="0" shrinkToFit="0" vertical="center" wrapText="1"/>
    </xf>
    <xf borderId="0" fillId="0" fontId="9" numFmtId="0" xfId="0" applyAlignment="1" applyFont="1">
      <alignment readingOrder="0" shrinkToFit="0" vertical="center" wrapText="1"/>
    </xf>
    <xf borderId="0" fillId="0" fontId="64" numFmtId="0" xfId="0" applyAlignment="1" applyFont="1">
      <alignment shrinkToFit="0" vertical="bottom" wrapText="1"/>
    </xf>
    <xf borderId="0" fillId="0" fontId="64" numFmtId="0" xfId="0" applyAlignment="1" applyFont="1">
      <alignment vertical="bottom"/>
    </xf>
    <xf borderId="0" fillId="0" fontId="9" numFmtId="0" xfId="0" applyAlignment="1" applyFont="1">
      <alignment horizontal="left" shrinkToFit="0" vertical="center" wrapText="1"/>
    </xf>
    <xf borderId="0" fillId="22" fontId="65" numFmtId="0" xfId="0" applyAlignment="1" applyFont="1">
      <alignment horizontal="center" shrinkToFit="0" vertical="top" wrapText="1"/>
    </xf>
    <xf borderId="0" fillId="22" fontId="12" numFmtId="0" xfId="0" applyAlignment="1" applyFont="1">
      <alignment horizontal="center" vertical="top"/>
    </xf>
    <xf borderId="0" fillId="17" fontId="48" numFmtId="0" xfId="0" applyAlignment="1" applyFont="1">
      <alignment horizontal="center" shrinkToFit="0" vertical="center" wrapText="1"/>
    </xf>
    <xf borderId="1" fillId="12" fontId="66" numFmtId="0" xfId="0" applyAlignment="1" applyBorder="1" applyFont="1">
      <alignment horizontal="right" shrinkToFit="0" vertical="center" wrapText="1"/>
    </xf>
    <xf borderId="1" fillId="12" fontId="66" numFmtId="4" xfId="0" applyAlignment="1" applyBorder="1" applyFont="1" applyNumberFormat="1">
      <alignment horizontal="right" shrinkToFit="0" vertical="center" wrapText="1"/>
    </xf>
    <xf borderId="1" fillId="12" fontId="66" numFmtId="49" xfId="0" applyAlignment="1" applyBorder="1" applyFont="1" applyNumberFormat="1">
      <alignment horizontal="right" shrinkToFit="0" vertical="center" wrapText="1"/>
    </xf>
    <xf borderId="0" fillId="0" fontId="67" numFmtId="0" xfId="0" applyFont="1"/>
    <xf borderId="0" fillId="0" fontId="68" numFmtId="0" xfId="0" applyFont="1"/>
  </cellXfs>
  <cellStyles count="1">
    <cellStyle xfId="0" name="Normal" builtinId="0"/>
  </cellStyles>
  <dxfs count="12">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none"/>
      </fill>
      <border/>
    </dxf>
    <dxf>
      <font/>
      <fill>
        <patternFill patternType="solid">
          <fgColor rgb="FF417FE0"/>
          <bgColor rgb="FF417FE0"/>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85255"/>
          <bgColor rgb="FFF85255"/>
        </patternFill>
      </fill>
      <border/>
    </dxf>
    <dxf>
      <font/>
      <fill>
        <patternFill patternType="solid">
          <fgColor rgb="FFF4E3E3"/>
          <bgColor rgb="FFF4E3E3"/>
        </patternFill>
      </fill>
      <border/>
    </dxf>
    <dxf>
      <font/>
      <fill>
        <patternFill patternType="solid">
          <fgColor rgb="FFB7E1CD"/>
          <bgColor rgb="FFB7E1CD"/>
        </patternFill>
      </fill>
      <border/>
    </dxf>
  </dxfs>
  <tableStyles count="2">
    <tableStyle count="3" pivot="0" name="Priorities &amp; Status-style">
      <tableStyleElement dxfId="6" type="headerRow"/>
      <tableStyleElement dxfId="7" type="firstRowStripe"/>
      <tableStyleElement dxfId="8" type="secondRowStripe"/>
    </tableStyle>
    <tableStyle count="3" pivot="0" name="Priorities &amp; Status-style 2">
      <tableStyleElement dxfId="9" type="headerRow"/>
      <tableStyleElement dxfId="7" type="firstRowStripe"/>
      <tableStyleElement dxfId="10"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5029200</xdr:colOff>
      <xdr:row>0</xdr:row>
      <xdr:rowOff>95250</xdr:rowOff>
    </xdr:from>
    <xdr:ext cx="2076450" cy="381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5067300" cy="2400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3</xdr:row>
      <xdr:rowOff>647700</xdr:rowOff>
    </xdr:from>
    <xdr:ext cx="3638550" cy="2914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314325</xdr:colOff>
      <xdr:row>4</xdr:row>
      <xdr:rowOff>257175</xdr:rowOff>
    </xdr:from>
    <xdr:ext cx="3771900" cy="16287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C997" displayName="Table_1" name="Table_1" id="1">
  <tableColumns count="2">
    <tableColumn name="Item" id="1"/>
    <tableColumn name="Detailed Notes" id="2"/>
  </tableColumns>
  <tableStyleInfo name="Priorities &amp; Status-style" showColumnStripes="0" showFirstColumn="1" showLastColumn="1" showRowStripes="1"/>
</table>
</file>

<file path=xl/tables/table2.xml><?xml version="1.0" encoding="utf-8"?>
<table xmlns="http://schemas.openxmlformats.org/spreadsheetml/2006/main" ref="D1:H997" displayName="Table_2" name="Table_2" id="2">
  <tableColumns count="5">
    <tableColumn name="Responsibility" id="1"/>
    <tableColumn name="Priority" id="2"/>
    <tableColumn name="Require Developer?_x000a_Exported &gt; True / False Conditional Coloring" id="3"/>
    <tableColumn name="Completed? (AM &amp; Client Use)" id="4"/>
    <tableColumn name="SEO / GEO Item?" id="5"/>
  </tableColumns>
  <tableStyleInfo name="Priorities &amp; Statu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example.com/" TargetMode="External"/><Relationship Id="rId10" Type="http://schemas.openxmlformats.org/officeDocument/2006/relationships/hyperlink" Target="https://search.google.com/test/mobile-friendly" TargetMode="External"/><Relationship Id="rId13" Type="http://schemas.openxmlformats.org/officeDocument/2006/relationships/hyperlink" Target="https://developers.google.com/speed/docs/insights/v5/get-started" TargetMode="External"/><Relationship Id="rId12" Type="http://schemas.openxmlformats.org/officeDocument/2006/relationships/hyperlink" Target="https://gtmetrix.com/" TargetMode="External"/><Relationship Id="rId1" Type="http://schemas.openxmlformats.org/officeDocument/2006/relationships/hyperlink" Target="https://moz.com/domain-analysis" TargetMode="External"/><Relationship Id="rId2" Type="http://schemas.openxmlformats.org/officeDocument/2006/relationships/hyperlink" Target="https://ahrefs.com/backlink-checker" TargetMode="External"/><Relationship Id="rId3" Type="http://schemas.openxmlformats.org/officeDocument/2006/relationships/hyperlink" Target="https://support.google.com/analytics/answer/1008080?hl=en" TargetMode="External"/><Relationship Id="rId4" Type="http://schemas.openxmlformats.org/officeDocument/2006/relationships/hyperlink" Target="https://support.google.com/webmasters/answer/34592?hl=en" TargetMode="External"/><Relationship Id="rId9" Type="http://schemas.openxmlformats.org/officeDocument/2006/relationships/hyperlink" Target="https://support.google.com/webmasters/answer/2721435?hl=en&amp;ref_topic=4596795" TargetMode="External"/><Relationship Id="rId15" Type="http://schemas.openxmlformats.org/officeDocument/2006/relationships/hyperlink" Target="https://docs.google.com/spreadsheets/d/1YVATEHS0Oq7YGNp1ZcbsH4JwFZSCTA_Bm0vlGTYv5P4/edit" TargetMode="External"/><Relationship Id="rId14" Type="http://schemas.openxmlformats.org/officeDocument/2006/relationships/hyperlink" Target="https://ahrefs.com/blog/backlink-audit/" TargetMode="External"/><Relationship Id="rId17" Type="http://schemas.openxmlformats.org/officeDocument/2006/relationships/drawing" Target="../drawings/drawing3.xml"/><Relationship Id="rId16" Type="http://schemas.openxmlformats.org/officeDocument/2006/relationships/hyperlink" Target="https://sentr.online/admin/tasks/view/368415" TargetMode="External"/><Relationship Id="rId5" Type="http://schemas.openxmlformats.org/officeDocument/2006/relationships/hyperlink" Target="https://wordpress.org/plugins/updraftplus/" TargetMode="External"/><Relationship Id="rId6" Type="http://schemas.openxmlformats.org/officeDocument/2006/relationships/hyperlink" Target="https://wordpress.org/support/article/backing-up-your-database/" TargetMode="External"/><Relationship Id="rId7" Type="http://schemas.openxmlformats.org/officeDocument/2006/relationships/hyperlink" Target="https://moz.com/learn/seo/what-is-keyword-research" TargetMode="External"/><Relationship Id="rId8" Type="http://schemas.openxmlformats.org/officeDocument/2006/relationships/hyperlink" Target="https://support.google.com/websearch/answer/190597?hl=e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hyperlink" Target="https://www.firstpage.hk/resources/content/ai-strategy-guide-from-seo-to-geo-when-ai-overviews-steal-34-of-your-clicks/"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27.0"/>
    <col customWidth="1" min="3" max="3" width="12.63"/>
    <col customWidth="1" hidden="1" min="4" max="5" width="12.63"/>
    <col customWidth="1" hidden="1" min="6" max="6" width="14.5"/>
  </cols>
  <sheetData>
    <row r="1" ht="48.75" customHeight="1">
      <c r="A1" s="1"/>
      <c r="B1" s="2" t="s">
        <v>0</v>
      </c>
      <c r="C1" s="2"/>
      <c r="D1" s="3"/>
      <c r="E1" s="3"/>
    </row>
    <row r="2" ht="318.0" customHeight="1">
      <c r="A2" s="4"/>
      <c r="B2" s="5" t="s">
        <v>1</v>
      </c>
      <c r="C2" s="6"/>
      <c r="D2" s="7"/>
      <c r="E2" s="7"/>
    </row>
    <row r="3" ht="15.75" customHeight="1">
      <c r="A3" s="8"/>
      <c r="B3" s="9" t="s">
        <v>2</v>
      </c>
      <c r="C3" s="10"/>
      <c r="D3" s="11"/>
      <c r="E3" s="11"/>
    </row>
    <row r="4" ht="15.75" customHeight="1">
      <c r="A4" s="8"/>
      <c r="B4" s="12"/>
      <c r="C4" s="10"/>
      <c r="D4" s="11"/>
      <c r="E4" s="11"/>
    </row>
    <row r="5">
      <c r="A5" s="8"/>
      <c r="B5" s="13" t="s">
        <v>3</v>
      </c>
      <c r="C5" s="10"/>
      <c r="D5" s="11"/>
      <c r="E5" s="11"/>
    </row>
    <row r="6" ht="15.75" customHeight="1">
      <c r="A6" s="8"/>
      <c r="B6" s="12"/>
      <c r="C6" s="10"/>
      <c r="D6" s="11" t="s">
        <v>4</v>
      </c>
      <c r="E6" s="11" t="s">
        <v>5</v>
      </c>
    </row>
    <row r="7" ht="15.75" customHeight="1">
      <c r="A7" s="8"/>
      <c r="B7" s="12"/>
      <c r="C7" s="10"/>
      <c r="D7" s="11" t="str">
        <f>'X SEO Audit Checklist (AM)'!A4</f>
        <v>#REF!</v>
      </c>
      <c r="E7" s="7" t="str">
        <f>'X SEO Audit Checklist (AM)'!G4</f>
        <v>#REF!</v>
      </c>
    </row>
    <row r="8" ht="15.75" customHeight="1">
      <c r="A8" s="8"/>
      <c r="B8" s="12"/>
      <c r="C8" s="10"/>
      <c r="D8" s="11" t="str">
        <f>'X SEO Audit Checklist (AM)'!A41</f>
        <v>#REF!</v>
      </c>
      <c r="E8" s="7" t="str">
        <f>'X SEO Audit Checklist (AM)'!G41</f>
        <v>#REF!</v>
      </c>
    </row>
    <row r="9" ht="15.75" customHeight="1">
      <c r="A9" s="8"/>
      <c r="B9" s="12"/>
      <c r="C9" s="10"/>
      <c r="D9" s="11" t="str">
        <f>'X SEO Audit Checklist (AM)'!A73</f>
        <v>#REF!</v>
      </c>
      <c r="E9" s="7" t="str">
        <f>'X SEO Audit Checklist (AM)'!G73</f>
        <v>#REF!</v>
      </c>
    </row>
    <row r="10" ht="15.75" customHeight="1">
      <c r="A10" s="8"/>
      <c r="B10" s="12"/>
      <c r="C10" s="10"/>
      <c r="D10" s="11" t="str">
        <f>'X SEO Audit Checklist (AM)'!A93</f>
        <v>#REF!</v>
      </c>
      <c r="E10" s="7" t="str">
        <f>'X SEO Audit Checklist (AM)'!G93</f>
        <v>#REF!</v>
      </c>
    </row>
    <row r="11" ht="15.75" customHeight="1">
      <c r="A11" s="8"/>
      <c r="B11" s="12"/>
      <c r="C11" s="10"/>
      <c r="D11" s="11" t="s">
        <v>6</v>
      </c>
      <c r="E11" s="7" t="str">
        <f>'X SEO Audit Checklist (AM)'!G98</f>
        <v>#REF!</v>
      </c>
    </row>
    <row r="12" ht="15.75" customHeight="1">
      <c r="A12" s="8"/>
      <c r="B12" s="12"/>
      <c r="C12" s="10"/>
      <c r="D12" s="11" t="s">
        <v>4</v>
      </c>
      <c r="E12" s="11" t="s">
        <v>5</v>
      </c>
    </row>
    <row r="13" ht="15.75" customHeight="1">
      <c r="A13" s="8"/>
      <c r="B13" s="12"/>
      <c r="C13" s="10"/>
      <c r="D13" s="11" t="str">
        <f>'X SEO Audit Checklist (AM)'!A4</f>
        <v>#REF!</v>
      </c>
      <c r="E13" s="7" t="str">
        <f>#REF!</f>
        <v>#REF!</v>
      </c>
    </row>
    <row r="14" ht="15.75" customHeight="1">
      <c r="A14" s="8"/>
      <c r="B14" s="12"/>
      <c r="C14" s="10"/>
      <c r="D14" s="11" t="str">
        <f>'X SEO Audit Checklist (AM)'!A41</f>
        <v>#REF!</v>
      </c>
      <c r="E14" s="7" t="str">
        <f>'X SEO Audit Checklist (AM)'!G41</f>
        <v>#REF!</v>
      </c>
    </row>
    <row r="15" ht="15.75" customHeight="1">
      <c r="A15" s="8"/>
      <c r="B15" s="12"/>
      <c r="C15" s="10"/>
      <c r="D15" s="11" t="str">
        <f>'X SEO Audit Checklist (AM)'!A73</f>
        <v>#REF!</v>
      </c>
      <c r="E15" s="7" t="str">
        <f>'X SEO Audit Checklist (AM)'!G73</f>
        <v>#REF!</v>
      </c>
    </row>
    <row r="16" ht="15.75" customHeight="1">
      <c r="A16" s="8"/>
      <c r="B16" s="12"/>
      <c r="C16" s="10"/>
      <c r="D16" s="11" t="str">
        <f>'X SEO Audit Checklist (AM)'!A93</f>
        <v>#REF!</v>
      </c>
      <c r="E16" s="7" t="str">
        <f t="shared" ref="E16:E17" si="1">#REF!</f>
        <v>#REF!</v>
      </c>
    </row>
    <row r="17" ht="15.75" customHeight="1">
      <c r="A17" s="8"/>
      <c r="B17" s="12"/>
      <c r="C17" s="10"/>
      <c r="D17" s="11" t="s">
        <v>6</v>
      </c>
      <c r="E17" s="7" t="str">
        <f t="shared" si="1"/>
        <v>#REF!</v>
      </c>
    </row>
    <row r="18" ht="15.75" customHeight="1">
      <c r="A18" s="8"/>
      <c r="B18" s="12"/>
      <c r="C18" s="10"/>
      <c r="D18" s="11"/>
      <c r="E18" s="7"/>
    </row>
    <row r="19" ht="15.75" customHeight="1">
      <c r="A19" s="8"/>
      <c r="B19" s="12"/>
      <c r="C19" s="10"/>
      <c r="D19" s="11"/>
      <c r="E19" s="7"/>
    </row>
    <row r="20" ht="15.75" customHeight="1">
      <c r="A20" s="8"/>
      <c r="B20" s="12"/>
      <c r="C20" s="10"/>
      <c r="D20" s="7"/>
      <c r="E20" s="7"/>
    </row>
    <row r="21" ht="15.75" customHeight="1">
      <c r="A21" s="8"/>
      <c r="B21" s="12"/>
      <c r="C21" s="10"/>
      <c r="D21" s="7"/>
      <c r="E21" s="7"/>
    </row>
    <row r="22" ht="15.75" customHeight="1">
      <c r="A22" s="8"/>
      <c r="B22" s="12"/>
      <c r="C22" s="10"/>
      <c r="D22" s="7"/>
      <c r="E22" s="7"/>
    </row>
    <row r="23" ht="15.75" customHeight="1">
      <c r="A23" s="8"/>
      <c r="B23" s="12"/>
      <c r="C23" s="10"/>
      <c r="D23" s="7"/>
      <c r="E23" s="7"/>
    </row>
    <row r="24" ht="15.75" customHeight="1">
      <c r="A24" s="8"/>
      <c r="B24" s="12"/>
      <c r="C24" s="10"/>
      <c r="D24" s="7"/>
      <c r="E24" s="7"/>
    </row>
    <row r="25" ht="15.75" customHeight="1">
      <c r="A25" s="8"/>
      <c r="B25" s="12"/>
      <c r="C25" s="10"/>
      <c r="D25" s="7"/>
      <c r="E25" s="7"/>
    </row>
    <row r="26" ht="15.75" customHeight="1">
      <c r="A26" s="8"/>
      <c r="B26" s="12"/>
      <c r="C26" s="10"/>
      <c r="D26" s="7"/>
      <c r="E26" s="7"/>
    </row>
    <row r="27" ht="15.75" customHeight="1">
      <c r="A27" s="8"/>
      <c r="B27" s="12"/>
      <c r="C27" s="10"/>
      <c r="D27" s="7"/>
      <c r="E27" s="7"/>
    </row>
    <row r="28" ht="15.75" customHeight="1">
      <c r="A28" s="8"/>
      <c r="B28" s="12"/>
      <c r="C28" s="10"/>
      <c r="D28" s="7"/>
      <c r="E28" s="7"/>
    </row>
    <row r="29" ht="15.75" customHeight="1">
      <c r="A29" s="8"/>
      <c r="B29" s="12"/>
      <c r="C29" s="10"/>
      <c r="D29" s="7"/>
      <c r="E29" s="7"/>
    </row>
    <row r="30" ht="15.75" customHeight="1">
      <c r="A30" s="8"/>
      <c r="B30" s="12"/>
      <c r="C30" s="10"/>
      <c r="D30" s="7"/>
      <c r="E30" s="7"/>
    </row>
    <row r="31" ht="15.75" customHeight="1">
      <c r="A31" s="8"/>
      <c r="B31" s="12"/>
      <c r="C31" s="10"/>
      <c r="D31" s="7"/>
      <c r="E31" s="7"/>
    </row>
    <row r="32" ht="15.75" customHeight="1">
      <c r="A32" s="8"/>
      <c r="B32" s="12"/>
      <c r="C32" s="10"/>
      <c r="D32" s="7"/>
      <c r="E32" s="7"/>
    </row>
    <row r="33" ht="15.75" customHeight="1">
      <c r="A33" s="8"/>
      <c r="B33" s="12"/>
      <c r="C33" s="10"/>
      <c r="D33" s="7"/>
      <c r="E33" s="7"/>
    </row>
    <row r="34" ht="15.75" customHeight="1">
      <c r="A34" s="8"/>
      <c r="B34" s="12"/>
      <c r="C34" s="10"/>
      <c r="D34" s="7"/>
      <c r="E34" s="7"/>
    </row>
    <row r="35" ht="15.75" customHeight="1">
      <c r="A35" s="8"/>
      <c r="B35" s="12"/>
      <c r="C35" s="10"/>
      <c r="D35" s="7"/>
      <c r="E35" s="7"/>
    </row>
    <row r="36" ht="15.75" customHeight="1">
      <c r="A36" s="8"/>
      <c r="B36" s="12"/>
      <c r="C36" s="10"/>
      <c r="D36" s="7"/>
      <c r="E36" s="7"/>
    </row>
    <row r="37" ht="24.75" customHeight="1">
      <c r="A37" s="8"/>
      <c r="B37" s="12"/>
      <c r="C37" s="10"/>
      <c r="D37" s="7"/>
      <c r="E37" s="7"/>
    </row>
    <row r="38" ht="58.5" customHeight="1">
      <c r="A38" s="8"/>
      <c r="B38" s="13" t="s">
        <v>7</v>
      </c>
      <c r="C38" s="10"/>
      <c r="D38" s="7"/>
      <c r="E38" s="7"/>
    </row>
    <row r="39" ht="57.0" customHeight="1">
      <c r="A39" s="8"/>
      <c r="B39" s="14"/>
      <c r="C39" s="15"/>
      <c r="E39" s="7"/>
    </row>
    <row r="40" ht="57.0" customHeight="1">
      <c r="A40" s="16"/>
      <c r="C40" s="15"/>
    </row>
    <row r="41" ht="57.0" customHeight="1">
      <c r="A41" s="16"/>
      <c r="C41" s="15"/>
    </row>
    <row r="42" ht="57.0" customHeight="1">
      <c r="A42" s="16"/>
      <c r="C42" s="15"/>
    </row>
    <row r="43" ht="57.0" customHeight="1">
      <c r="A43" s="16"/>
      <c r="C43" s="15"/>
    </row>
    <row r="44" ht="57.0" customHeight="1">
      <c r="A44" s="16"/>
      <c r="C44" s="15"/>
    </row>
    <row r="45" ht="57.0" customHeight="1">
      <c r="A45" s="16"/>
      <c r="C45" s="15"/>
    </row>
    <row r="46" ht="99.0" customHeight="1">
      <c r="A46" s="16"/>
      <c r="C46" s="15"/>
    </row>
    <row r="47" ht="57.0" customHeight="1">
      <c r="A47" s="8"/>
      <c r="B47" s="15"/>
      <c r="C47" s="15"/>
    </row>
    <row r="48" ht="57.0" customHeight="1">
      <c r="A48" s="17"/>
      <c r="B48" s="14"/>
      <c r="C48" s="18"/>
    </row>
    <row r="49" ht="57.0" customHeight="1">
      <c r="A49" s="17"/>
      <c r="B49" s="14"/>
      <c r="C49" s="18"/>
    </row>
    <row r="50" ht="57.0" customHeight="1">
      <c r="A50" s="17"/>
      <c r="B50" s="14"/>
      <c r="C50" s="18"/>
    </row>
    <row r="51" ht="57.0" customHeight="1">
      <c r="A51" s="17"/>
      <c r="B51" s="14"/>
      <c r="C51" s="18"/>
    </row>
    <row r="52" ht="57.0" customHeight="1">
      <c r="A52" s="17"/>
      <c r="B52" s="14"/>
      <c r="C52" s="18"/>
    </row>
    <row r="53" ht="57.0" customHeight="1">
      <c r="A53" s="17"/>
      <c r="B53" s="14"/>
      <c r="C53" s="18"/>
    </row>
    <row r="54" ht="57.0" customHeight="1">
      <c r="A54" s="17"/>
      <c r="B54" s="14"/>
      <c r="C54" s="18"/>
    </row>
    <row r="55" ht="57.0" customHeight="1">
      <c r="A55" s="17"/>
      <c r="B55" s="14"/>
      <c r="C55" s="18"/>
    </row>
    <row r="56" ht="57.0" customHeight="1">
      <c r="A56" s="17"/>
      <c r="B56" s="14"/>
      <c r="C56" s="18"/>
    </row>
    <row r="57" ht="57.0" customHeight="1">
      <c r="A57" s="17"/>
      <c r="B57" s="14"/>
      <c r="C57" s="18"/>
    </row>
    <row r="58" ht="57.0" customHeight="1">
      <c r="A58" s="17"/>
      <c r="B58" s="14"/>
      <c r="C58" s="18"/>
    </row>
    <row r="59" ht="57.0" customHeight="1">
      <c r="A59" s="17"/>
      <c r="B59" s="14"/>
      <c r="C59" s="18"/>
    </row>
    <row r="60" ht="57.0" customHeight="1">
      <c r="A60" s="17"/>
      <c r="B60" s="14"/>
      <c r="C60" s="18"/>
    </row>
    <row r="61" ht="57.0" customHeight="1">
      <c r="A61" s="17"/>
      <c r="B61" s="14"/>
      <c r="C61" s="18"/>
    </row>
    <row r="62" ht="15.75" customHeight="1"/>
    <row r="63" ht="15.75" customHeight="1"/>
    <row r="64" ht="322.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9:A46"/>
    <mergeCell ref="B39:B4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2" width="67.25"/>
    <col customWidth="1" min="3" max="3" width="12.63"/>
    <col customWidth="1" min="4" max="4" width="14.5"/>
    <col customWidth="1" min="5" max="6" width="12.63"/>
  </cols>
  <sheetData>
    <row r="1">
      <c r="A1" s="19" t="s">
        <v>8</v>
      </c>
      <c r="D1" s="20"/>
      <c r="E1" s="21"/>
      <c r="F1" s="21"/>
      <c r="G1" s="21"/>
      <c r="H1" s="21"/>
      <c r="I1" s="21"/>
      <c r="J1" s="21"/>
      <c r="K1" s="21"/>
      <c r="L1" s="21"/>
      <c r="M1" s="21"/>
      <c r="N1" s="21"/>
      <c r="O1" s="21"/>
      <c r="P1" s="21"/>
      <c r="Q1" s="21"/>
      <c r="R1" s="21"/>
      <c r="S1" s="21"/>
      <c r="T1" s="21"/>
      <c r="U1" s="21"/>
      <c r="V1" s="21"/>
      <c r="W1" s="21"/>
      <c r="X1" s="21"/>
      <c r="Y1" s="21"/>
      <c r="Z1" s="21"/>
    </row>
    <row r="2">
      <c r="A2" s="22"/>
      <c r="B2" s="23"/>
      <c r="C2" s="24"/>
      <c r="D2" s="25" t="s">
        <v>9</v>
      </c>
      <c r="E2" s="25" t="s">
        <v>10</v>
      </c>
      <c r="F2" s="21"/>
      <c r="G2" s="21"/>
      <c r="H2" s="21"/>
      <c r="I2" s="21"/>
      <c r="J2" s="21"/>
      <c r="K2" s="21"/>
      <c r="L2" s="21"/>
      <c r="M2" s="21"/>
      <c r="N2" s="21"/>
      <c r="O2" s="21"/>
      <c r="P2" s="21"/>
      <c r="Q2" s="21"/>
      <c r="R2" s="21"/>
      <c r="S2" s="21"/>
      <c r="T2" s="21"/>
      <c r="U2" s="21"/>
      <c r="V2" s="21"/>
      <c r="W2" s="21"/>
      <c r="X2" s="21"/>
      <c r="Y2" s="21"/>
      <c r="Z2" s="21"/>
    </row>
    <row r="3">
      <c r="A3" s="26" t="s">
        <v>11</v>
      </c>
      <c r="B3" s="27"/>
      <c r="C3" s="28"/>
      <c r="D3" s="29" t="str">
        <f>IFERROR(vlookup(B3,SV!$A$1:$C115,2,false),"")</f>
        <v/>
      </c>
      <c r="E3" s="29" t="str">
        <f>IFERROR(vlookup(B3,SV!$A$1:$C115,3,false),"")</f>
        <v/>
      </c>
      <c r="F3" s="21"/>
      <c r="G3" s="21"/>
      <c r="H3" s="21"/>
      <c r="I3" s="21"/>
      <c r="J3" s="21"/>
      <c r="K3" s="21"/>
      <c r="L3" s="21"/>
      <c r="M3" s="21"/>
      <c r="N3" s="21"/>
      <c r="O3" s="21"/>
      <c r="P3" s="21"/>
      <c r="Q3" s="21"/>
      <c r="R3" s="21"/>
      <c r="S3" s="21"/>
      <c r="T3" s="21"/>
      <c r="U3" s="21"/>
      <c r="V3" s="21"/>
      <c r="W3" s="21"/>
      <c r="X3" s="21"/>
      <c r="Y3" s="21"/>
      <c r="Z3" s="21"/>
    </row>
    <row r="4">
      <c r="A4" s="26" t="s">
        <v>12</v>
      </c>
      <c r="B4" s="30" t="str">
        <f>IFERROR(__xludf.DUMMYFUNCTION("iferror(IMPORTXML(B3, ""//head/title/text()""),"""")"),"")</f>
        <v/>
      </c>
      <c r="C4" s="28"/>
      <c r="D4" s="21" t="str">
        <f>IFERROR(vlookup(B4,SV!$A$1:$C115,2,false),"")</f>
        <v/>
      </c>
      <c r="E4" s="21" t="str">
        <f>IFERROR(vlookup(B4,SV!$A$1:$C115,3,false),"")</f>
        <v/>
      </c>
      <c r="F4" s="21"/>
      <c r="G4" s="21"/>
      <c r="H4" s="21"/>
      <c r="I4" s="21"/>
      <c r="J4" s="21"/>
      <c r="K4" s="21"/>
      <c r="L4" s="21"/>
      <c r="M4" s="21"/>
      <c r="N4" s="21"/>
      <c r="O4" s="21"/>
      <c r="P4" s="21"/>
      <c r="Q4" s="21"/>
      <c r="R4" s="21"/>
      <c r="S4" s="21"/>
      <c r="T4" s="21"/>
      <c r="U4" s="21"/>
      <c r="V4" s="21"/>
      <c r="W4" s="21"/>
      <c r="X4" s="21"/>
      <c r="Y4" s="21"/>
      <c r="Z4" s="21"/>
    </row>
    <row r="5">
      <c r="A5" s="31" t="s">
        <v>13</v>
      </c>
      <c r="B5" s="32"/>
      <c r="C5" s="33"/>
      <c r="D5" s="21" t="str">
        <f>IFERROR(vlookup(B5,SV!$A$1:$C115,2,false),"")</f>
        <v/>
      </c>
      <c r="E5" s="21" t="str">
        <f>IFERROR(vlookup(B5,SV!$A$1:$C115,3,false),"")</f>
        <v/>
      </c>
      <c r="F5" s="21"/>
      <c r="G5" s="21"/>
      <c r="H5" s="21"/>
      <c r="I5" s="21"/>
      <c r="J5" s="21"/>
      <c r="K5" s="21"/>
      <c r="L5" s="21"/>
      <c r="M5" s="21"/>
      <c r="N5" s="21"/>
      <c r="O5" s="21"/>
      <c r="P5" s="21"/>
      <c r="Q5" s="21"/>
      <c r="R5" s="21"/>
      <c r="S5" s="21"/>
      <c r="T5" s="21"/>
      <c r="U5" s="21"/>
      <c r="V5" s="21"/>
      <c r="W5" s="21"/>
      <c r="X5" s="21"/>
      <c r="Y5" s="21"/>
      <c r="Z5" s="21"/>
    </row>
    <row r="6">
      <c r="A6" s="34" t="s">
        <v>14</v>
      </c>
      <c r="B6" s="30"/>
      <c r="C6" s="28"/>
      <c r="D6" s="21" t="str">
        <f>IFERROR(vlookup(B6,SV!$A$1:$C115,2,false),"")</f>
        <v/>
      </c>
      <c r="E6" s="21" t="str">
        <f>IFERROR(vlookup(B6,SV!$A$1:$C115,3,false),"")</f>
        <v/>
      </c>
      <c r="F6" s="21"/>
      <c r="G6" s="21"/>
      <c r="H6" s="21"/>
      <c r="I6" s="21"/>
      <c r="J6" s="21"/>
      <c r="K6" s="21"/>
      <c r="L6" s="21"/>
      <c r="M6" s="21"/>
      <c r="N6" s="21"/>
      <c r="O6" s="21"/>
      <c r="P6" s="21"/>
      <c r="Q6" s="21"/>
      <c r="R6" s="21"/>
      <c r="S6" s="21"/>
      <c r="T6" s="21"/>
      <c r="U6" s="21"/>
      <c r="V6" s="21"/>
      <c r="W6" s="21"/>
      <c r="X6" s="21"/>
      <c r="Y6" s="21"/>
      <c r="Z6" s="21"/>
    </row>
    <row r="7">
      <c r="A7" s="35"/>
      <c r="B7" s="30"/>
      <c r="C7" s="28"/>
      <c r="D7" s="21" t="str">
        <f>IFERROR(vlookup(B7,SV!$A$1:$C115,2,false),"")</f>
        <v/>
      </c>
      <c r="E7" s="21" t="str">
        <f>IFERROR(vlookup(B7,SV!$A$1:$C115,3,false),"")</f>
        <v/>
      </c>
      <c r="F7" s="21"/>
      <c r="G7" s="21"/>
      <c r="H7" s="21"/>
      <c r="I7" s="21"/>
      <c r="J7" s="21"/>
      <c r="K7" s="21"/>
      <c r="L7" s="21"/>
      <c r="M7" s="21"/>
      <c r="N7" s="21"/>
      <c r="O7" s="21"/>
      <c r="P7" s="21"/>
      <c r="Q7" s="21"/>
      <c r="R7" s="21"/>
      <c r="S7" s="21"/>
      <c r="T7" s="21"/>
      <c r="U7" s="21"/>
      <c r="V7" s="21"/>
      <c r="W7" s="21"/>
      <c r="X7" s="21"/>
      <c r="Y7" s="21"/>
      <c r="Z7" s="21"/>
    </row>
    <row r="8">
      <c r="A8" s="35"/>
      <c r="B8" s="30"/>
      <c r="C8" s="28"/>
      <c r="D8" s="21" t="str">
        <f>IFERROR(vlookup(B8,SV!$A$1:$C115,2,false),"")</f>
        <v/>
      </c>
      <c r="E8" s="21" t="str">
        <f>IFERROR(vlookup(B8,SV!$A$1:$C115,3,false),"")</f>
        <v/>
      </c>
      <c r="F8" s="21"/>
      <c r="G8" s="21"/>
      <c r="H8" s="21"/>
      <c r="I8" s="21"/>
      <c r="J8" s="21"/>
      <c r="K8" s="21"/>
      <c r="L8" s="21"/>
      <c r="M8" s="21"/>
      <c r="N8" s="21"/>
      <c r="O8" s="21"/>
      <c r="P8" s="21"/>
      <c r="Q8" s="21"/>
      <c r="R8" s="21"/>
      <c r="S8" s="21"/>
      <c r="T8" s="21"/>
      <c r="U8" s="21"/>
      <c r="V8" s="21"/>
      <c r="W8" s="21"/>
      <c r="X8" s="21"/>
      <c r="Y8" s="21"/>
      <c r="Z8" s="21"/>
    </row>
    <row r="9">
      <c r="A9" s="35"/>
      <c r="B9" s="30"/>
      <c r="C9" s="28"/>
      <c r="D9" s="21" t="str">
        <f>IFERROR(vlookup(B9,SV!$A$1:$C115,2,false),"")</f>
        <v/>
      </c>
      <c r="E9" s="21" t="str">
        <f>IFERROR(vlookup(B9,SV!$A$1:$C115,3,false),"")</f>
        <v/>
      </c>
      <c r="F9" s="21"/>
      <c r="G9" s="21"/>
      <c r="H9" s="21"/>
      <c r="I9" s="21"/>
      <c r="J9" s="21"/>
      <c r="K9" s="21"/>
      <c r="L9" s="21"/>
      <c r="M9" s="21"/>
      <c r="N9" s="21"/>
      <c r="O9" s="21"/>
      <c r="P9" s="21"/>
      <c r="Q9" s="21"/>
      <c r="R9" s="21"/>
      <c r="S9" s="21"/>
      <c r="T9" s="21"/>
      <c r="U9" s="21"/>
      <c r="V9" s="21"/>
      <c r="W9" s="21"/>
      <c r="X9" s="21"/>
      <c r="Y9" s="21"/>
      <c r="Z9" s="21"/>
    </row>
    <row r="10">
      <c r="A10" s="35"/>
      <c r="B10" s="30"/>
      <c r="C10" s="28"/>
      <c r="D10" s="21" t="str">
        <f>IFERROR(vlookup(B10,SV!$A$1:$C115,2,false),"")</f>
        <v/>
      </c>
      <c r="E10" s="21" t="str">
        <f>IFERROR(vlookup(B10,SV!$A$1:$C115,3,false),"")</f>
        <v/>
      </c>
      <c r="F10" s="21"/>
      <c r="G10" s="21"/>
      <c r="H10" s="21"/>
      <c r="I10" s="21"/>
      <c r="J10" s="21"/>
      <c r="K10" s="21"/>
      <c r="L10" s="21"/>
      <c r="M10" s="21"/>
      <c r="N10" s="21"/>
      <c r="O10" s="21"/>
      <c r="P10" s="21"/>
      <c r="Q10" s="21"/>
      <c r="R10" s="21"/>
      <c r="S10" s="21"/>
      <c r="T10" s="21"/>
      <c r="U10" s="21"/>
      <c r="V10" s="21"/>
      <c r="W10" s="21"/>
      <c r="X10" s="21"/>
      <c r="Y10" s="21"/>
      <c r="Z10" s="21"/>
    </row>
    <row r="11">
      <c r="A11" s="35"/>
      <c r="B11" s="30"/>
      <c r="C11" s="28"/>
      <c r="D11" s="21" t="str">
        <f>IFERROR(vlookup(B11,SV!$A$1:$C115,2,false),"")</f>
        <v/>
      </c>
      <c r="E11" s="21" t="str">
        <f>IFERROR(vlookup(B11,SV!$A$1:$C115,3,false),"")</f>
        <v/>
      </c>
      <c r="F11" s="21"/>
      <c r="G11" s="21"/>
      <c r="H11" s="21"/>
      <c r="I11" s="21"/>
      <c r="J11" s="21"/>
      <c r="K11" s="21"/>
      <c r="L11" s="21"/>
      <c r="M11" s="21"/>
      <c r="N11" s="21"/>
      <c r="O11" s="21"/>
      <c r="P11" s="21"/>
      <c r="Q11" s="21"/>
      <c r="R11" s="21"/>
      <c r="S11" s="21"/>
      <c r="T11" s="21"/>
      <c r="U11" s="21"/>
      <c r="V11" s="21"/>
      <c r="W11" s="21"/>
      <c r="X11" s="21"/>
      <c r="Y11" s="21"/>
      <c r="Z11" s="21"/>
    </row>
    <row r="12">
      <c r="A12" s="35"/>
      <c r="B12" s="30"/>
      <c r="C12" s="28"/>
      <c r="D12" s="21" t="str">
        <f>IFERROR(vlookup(B12,SV!$A$1:$C115,2,false),"")</f>
        <v/>
      </c>
      <c r="E12" s="21" t="str">
        <f>IFERROR(vlookup(B12,SV!$A$1:$C115,3,false),"")</f>
        <v/>
      </c>
      <c r="F12" s="21"/>
      <c r="G12" s="21"/>
      <c r="H12" s="21"/>
      <c r="I12" s="21"/>
      <c r="J12" s="21"/>
      <c r="K12" s="21"/>
      <c r="L12" s="21"/>
      <c r="M12" s="21"/>
      <c r="N12" s="21"/>
      <c r="O12" s="21"/>
      <c r="P12" s="21"/>
      <c r="Q12" s="21"/>
      <c r="R12" s="21"/>
      <c r="S12" s="21"/>
      <c r="T12" s="21"/>
      <c r="U12" s="21"/>
      <c r="V12" s="21"/>
      <c r="W12" s="21"/>
      <c r="X12" s="21"/>
      <c r="Y12" s="21"/>
      <c r="Z12" s="21"/>
    </row>
    <row r="13">
      <c r="A13" s="35"/>
      <c r="B13" s="30"/>
      <c r="C13" s="28"/>
      <c r="D13" s="21" t="str">
        <f>IFERROR(vlookup(B13,SV!$A$1:$C115,2,false),"")</f>
        <v/>
      </c>
      <c r="E13" s="21" t="str">
        <f>IFERROR(vlookup(B13,SV!$A$1:$C115,3,false),"")</f>
        <v/>
      </c>
      <c r="F13" s="21"/>
      <c r="G13" s="21"/>
      <c r="H13" s="21"/>
      <c r="I13" s="21"/>
      <c r="J13" s="21"/>
      <c r="K13" s="21"/>
      <c r="L13" s="21"/>
      <c r="M13" s="21"/>
      <c r="N13" s="21"/>
      <c r="O13" s="21"/>
      <c r="P13" s="21"/>
      <c r="Q13" s="21"/>
      <c r="R13" s="21"/>
      <c r="S13" s="21"/>
      <c r="T13" s="21"/>
      <c r="U13" s="21"/>
      <c r="V13" s="21"/>
      <c r="W13" s="21"/>
      <c r="X13" s="21"/>
      <c r="Y13" s="21"/>
      <c r="Z13" s="21"/>
    </row>
    <row r="14">
      <c r="A14" s="35"/>
      <c r="B14" s="30"/>
      <c r="C14" s="28"/>
      <c r="D14" s="21" t="str">
        <f>IFERROR(vlookup(B14,SV!$A$1:$C115,2,false),"")</f>
        <v/>
      </c>
      <c r="E14" s="21" t="str">
        <f>IFERROR(vlookup(B14,SV!$A$1:$C115,3,false),"")</f>
        <v/>
      </c>
      <c r="F14" s="21"/>
      <c r="G14" s="21"/>
      <c r="H14" s="21"/>
      <c r="I14" s="21"/>
      <c r="J14" s="21"/>
      <c r="K14" s="21"/>
      <c r="L14" s="21"/>
      <c r="M14" s="21"/>
      <c r="N14" s="21"/>
      <c r="O14" s="21"/>
      <c r="P14" s="21"/>
      <c r="Q14" s="21"/>
      <c r="R14" s="21"/>
      <c r="S14" s="21"/>
      <c r="T14" s="21"/>
      <c r="U14" s="21"/>
      <c r="V14" s="21"/>
      <c r="W14" s="21"/>
      <c r="X14" s="21"/>
      <c r="Y14" s="21"/>
      <c r="Z14" s="21"/>
    </row>
    <row r="15">
      <c r="A15" s="36"/>
      <c r="B15" s="37"/>
      <c r="C15" s="38"/>
      <c r="D15" s="21" t="str">
        <f>IFERROR(vlookup(B15,SV!$A$1:$C115,2,false),"")</f>
        <v/>
      </c>
      <c r="E15" s="21" t="str">
        <f>IFERROR(vlookup(B15,SV!$A$1:$C115,3,false),"")</f>
        <v/>
      </c>
      <c r="F15" s="21"/>
      <c r="G15" s="21"/>
      <c r="H15" s="21"/>
      <c r="I15" s="21"/>
      <c r="J15" s="21"/>
      <c r="K15" s="21"/>
      <c r="L15" s="21"/>
      <c r="M15" s="21"/>
      <c r="N15" s="21"/>
      <c r="O15" s="21"/>
      <c r="P15" s="21"/>
      <c r="Q15" s="21"/>
      <c r="R15" s="21"/>
      <c r="S15" s="21"/>
      <c r="T15" s="21"/>
      <c r="U15" s="21"/>
      <c r="V15" s="21"/>
      <c r="W15" s="21"/>
      <c r="X15" s="21"/>
      <c r="Y15" s="21"/>
      <c r="Z15" s="21"/>
    </row>
    <row r="16">
      <c r="A16" s="22"/>
      <c r="B16" s="23"/>
      <c r="C16" s="24"/>
      <c r="D16" s="25" t="s">
        <v>9</v>
      </c>
      <c r="E16" s="25" t="s">
        <v>10</v>
      </c>
      <c r="F16" s="21"/>
      <c r="G16" s="21"/>
      <c r="H16" s="21"/>
      <c r="I16" s="21"/>
      <c r="J16" s="21"/>
      <c r="K16" s="21"/>
      <c r="L16" s="21"/>
      <c r="M16" s="21"/>
      <c r="N16" s="21"/>
      <c r="O16" s="21"/>
      <c r="P16" s="21"/>
      <c r="Q16" s="21"/>
      <c r="R16" s="21"/>
      <c r="S16" s="21"/>
      <c r="T16" s="21"/>
      <c r="U16" s="21"/>
      <c r="V16" s="21"/>
      <c r="W16" s="21"/>
      <c r="X16" s="21"/>
      <c r="Y16" s="21"/>
      <c r="Z16" s="21"/>
    </row>
    <row r="17">
      <c r="A17" s="26" t="s">
        <v>11</v>
      </c>
      <c r="B17" s="27"/>
      <c r="C17" s="28"/>
      <c r="D17" s="29" t="str">
        <f>IFERROR(vlookup(B17,SV!$A$1:$C115,2,false),"")</f>
        <v/>
      </c>
      <c r="E17" s="29" t="str">
        <f>IFERROR(vlookup(B17,SV!$A$1:$C115,3,false),"")</f>
        <v/>
      </c>
      <c r="F17" s="21"/>
      <c r="G17" s="21"/>
      <c r="H17" s="21"/>
      <c r="I17" s="21"/>
      <c r="J17" s="21"/>
      <c r="K17" s="21"/>
      <c r="L17" s="21"/>
      <c r="M17" s="21"/>
      <c r="N17" s="21"/>
      <c r="O17" s="21"/>
      <c r="P17" s="21"/>
      <c r="Q17" s="21"/>
      <c r="R17" s="21"/>
      <c r="S17" s="21"/>
      <c r="T17" s="21"/>
      <c r="U17" s="21"/>
      <c r="V17" s="21"/>
      <c r="W17" s="21"/>
      <c r="X17" s="21"/>
      <c r="Y17" s="21"/>
      <c r="Z17" s="21"/>
    </row>
    <row r="18">
      <c r="A18" s="26" t="s">
        <v>12</v>
      </c>
      <c r="B18" s="30" t="str">
        <f>IFERROR(__xludf.DUMMYFUNCTION("iferror(IMPORTXML(B17, ""//head/title/text()""),"""")"),"")</f>
        <v/>
      </c>
      <c r="C18" s="28"/>
      <c r="D18" s="21" t="str">
        <f>IFERROR(vlookup(B18,SV!$A$1:$C115,2,false),"")</f>
        <v/>
      </c>
      <c r="E18" s="21" t="str">
        <f>IFERROR(vlookup(B18,SV!$A$1:$C115,3,false),"")</f>
        <v/>
      </c>
      <c r="F18" s="21"/>
      <c r="G18" s="21"/>
      <c r="H18" s="21"/>
      <c r="I18" s="21"/>
      <c r="J18" s="21"/>
      <c r="K18" s="21"/>
      <c r="L18" s="21"/>
      <c r="M18" s="21"/>
      <c r="N18" s="21"/>
      <c r="O18" s="21"/>
      <c r="P18" s="21"/>
      <c r="Q18" s="21"/>
      <c r="R18" s="21"/>
      <c r="S18" s="21"/>
      <c r="T18" s="21"/>
      <c r="U18" s="21"/>
      <c r="V18" s="21"/>
      <c r="W18" s="21"/>
      <c r="X18" s="21"/>
      <c r="Y18" s="21"/>
      <c r="Z18" s="21"/>
    </row>
    <row r="19">
      <c r="A19" s="31" t="s">
        <v>13</v>
      </c>
      <c r="B19" s="32"/>
      <c r="C19" s="33"/>
      <c r="D19" s="21" t="str">
        <f>IFERROR(vlookup(B19,SV!$A$1:$C115,2,false),"")</f>
        <v/>
      </c>
      <c r="E19" s="21" t="str">
        <f>IFERROR(vlookup(B19,SV!$A$1:$C115,3,false),"")</f>
        <v/>
      </c>
      <c r="F19" s="21"/>
      <c r="G19" s="21"/>
      <c r="H19" s="21"/>
      <c r="I19" s="21"/>
      <c r="J19" s="21"/>
      <c r="K19" s="21"/>
      <c r="L19" s="21"/>
      <c r="M19" s="21"/>
      <c r="N19" s="21"/>
      <c r="O19" s="21"/>
      <c r="P19" s="21"/>
      <c r="Q19" s="21"/>
      <c r="R19" s="21"/>
      <c r="S19" s="21"/>
      <c r="T19" s="21"/>
      <c r="U19" s="21"/>
      <c r="V19" s="21"/>
      <c r="W19" s="21"/>
      <c r="X19" s="21"/>
      <c r="Y19" s="21"/>
      <c r="Z19" s="21"/>
    </row>
    <row r="20">
      <c r="A20" s="34" t="s">
        <v>14</v>
      </c>
      <c r="B20" s="30"/>
      <c r="C20" s="28"/>
      <c r="D20" s="21" t="str">
        <f>IFERROR(vlookup(B20,SV!$A$1:$C115,2,false),"")</f>
        <v/>
      </c>
      <c r="E20" s="21" t="str">
        <f>IFERROR(vlookup(B20,SV!$A$1:$C115,3,false),"")</f>
        <v/>
      </c>
      <c r="F20" s="21"/>
      <c r="G20" s="21"/>
      <c r="H20" s="21"/>
      <c r="I20" s="21"/>
      <c r="J20" s="21"/>
      <c r="K20" s="21"/>
      <c r="L20" s="21"/>
      <c r="M20" s="21"/>
      <c r="N20" s="21"/>
      <c r="O20" s="21"/>
      <c r="P20" s="21"/>
      <c r="Q20" s="21"/>
      <c r="R20" s="21"/>
      <c r="S20" s="21"/>
      <c r="T20" s="21"/>
      <c r="U20" s="21"/>
      <c r="V20" s="21"/>
      <c r="W20" s="21"/>
      <c r="X20" s="21"/>
      <c r="Y20" s="21"/>
      <c r="Z20" s="21"/>
    </row>
    <row r="21" ht="15.75" customHeight="1">
      <c r="A21" s="35"/>
      <c r="B21" s="30"/>
      <c r="C21" s="28"/>
      <c r="D21" s="21" t="str">
        <f>IFERROR(vlookup(B21,SV!$A$1:$C115,2,false),"")</f>
        <v/>
      </c>
      <c r="E21" s="21" t="str">
        <f>IFERROR(vlookup(B21,SV!$A$1:$C115,3,false),"")</f>
        <v/>
      </c>
      <c r="F21" s="21"/>
      <c r="G21" s="21"/>
      <c r="H21" s="21"/>
      <c r="I21" s="21"/>
      <c r="J21" s="21"/>
      <c r="K21" s="21"/>
      <c r="L21" s="21"/>
      <c r="M21" s="21"/>
      <c r="N21" s="21"/>
      <c r="O21" s="21"/>
      <c r="P21" s="21"/>
      <c r="Q21" s="21"/>
      <c r="R21" s="21"/>
      <c r="S21" s="21"/>
      <c r="T21" s="21"/>
      <c r="U21" s="21"/>
      <c r="V21" s="21"/>
      <c r="W21" s="21"/>
      <c r="X21" s="21"/>
      <c r="Y21" s="21"/>
      <c r="Z21" s="21"/>
    </row>
    <row r="22" ht="15.75" customHeight="1">
      <c r="A22" s="35"/>
      <c r="B22" s="30"/>
      <c r="C22" s="28"/>
      <c r="D22" s="21" t="str">
        <f>IFERROR(vlookup(B22,SV!$A$1:$C115,2,false),"")</f>
        <v/>
      </c>
      <c r="E22" s="21" t="str">
        <f>IFERROR(vlookup(B22,SV!$A$1:$C115,3,false),"")</f>
        <v/>
      </c>
      <c r="F22" s="21"/>
      <c r="G22" s="21"/>
      <c r="H22" s="21"/>
      <c r="I22" s="21"/>
      <c r="J22" s="21"/>
      <c r="K22" s="21"/>
      <c r="L22" s="21"/>
      <c r="M22" s="21"/>
      <c r="N22" s="21"/>
      <c r="O22" s="21"/>
      <c r="P22" s="21"/>
      <c r="Q22" s="21"/>
      <c r="R22" s="21"/>
      <c r="S22" s="21"/>
      <c r="T22" s="21"/>
      <c r="U22" s="21"/>
      <c r="V22" s="21"/>
      <c r="W22" s="21"/>
      <c r="X22" s="21"/>
      <c r="Y22" s="21"/>
      <c r="Z22" s="21"/>
    </row>
    <row r="23" ht="15.75" customHeight="1">
      <c r="A23" s="35"/>
      <c r="B23" s="30"/>
      <c r="C23" s="28"/>
      <c r="D23" s="21" t="str">
        <f>IFERROR(vlookup(B23,SV!$A$1:$C115,2,false),"")</f>
        <v/>
      </c>
      <c r="E23" s="21" t="str">
        <f>IFERROR(vlookup(B23,SV!$A$1:$C115,3,false),"")</f>
        <v/>
      </c>
      <c r="F23" s="21"/>
      <c r="G23" s="21"/>
      <c r="H23" s="21"/>
      <c r="I23" s="21"/>
      <c r="J23" s="21"/>
      <c r="K23" s="21"/>
      <c r="L23" s="21"/>
      <c r="M23" s="21"/>
      <c r="N23" s="21"/>
      <c r="O23" s="21"/>
      <c r="P23" s="21"/>
      <c r="Q23" s="21"/>
      <c r="R23" s="21"/>
      <c r="S23" s="21"/>
      <c r="T23" s="21"/>
      <c r="U23" s="21"/>
      <c r="V23" s="21"/>
      <c r="W23" s="21"/>
      <c r="X23" s="21"/>
      <c r="Y23" s="21"/>
      <c r="Z23" s="21"/>
    </row>
    <row r="24" ht="15.75" customHeight="1">
      <c r="A24" s="35"/>
      <c r="B24" s="30"/>
      <c r="C24" s="28"/>
      <c r="D24" s="21" t="str">
        <f>IFERROR(vlookup(B24,SV!$A$1:$C115,2,false),"")</f>
        <v/>
      </c>
      <c r="E24" s="21" t="str">
        <f>IFERROR(vlookup(B24,SV!$A$1:$C115,3,false),"")</f>
        <v/>
      </c>
      <c r="F24" s="21"/>
      <c r="G24" s="21"/>
      <c r="H24" s="21"/>
      <c r="I24" s="21"/>
      <c r="J24" s="21"/>
      <c r="K24" s="21"/>
      <c r="L24" s="21"/>
      <c r="M24" s="21"/>
      <c r="N24" s="21"/>
      <c r="O24" s="21"/>
      <c r="P24" s="21"/>
      <c r="Q24" s="21"/>
      <c r="R24" s="21"/>
      <c r="S24" s="21"/>
      <c r="T24" s="21"/>
      <c r="U24" s="21"/>
      <c r="V24" s="21"/>
      <c r="W24" s="21"/>
      <c r="X24" s="21"/>
      <c r="Y24" s="21"/>
      <c r="Z24" s="21"/>
    </row>
    <row r="25" ht="15.75" customHeight="1">
      <c r="A25" s="35"/>
      <c r="B25" s="30"/>
      <c r="C25" s="28"/>
      <c r="D25" s="21" t="str">
        <f>IFERROR(vlookup(B25,SV!$A$1:$C115,2,false),"")</f>
        <v/>
      </c>
      <c r="E25" s="21" t="str">
        <f>IFERROR(vlookup(B25,SV!$A$1:$C115,3,false),"")</f>
        <v/>
      </c>
      <c r="F25" s="21"/>
      <c r="G25" s="21"/>
      <c r="H25" s="21"/>
      <c r="I25" s="21"/>
      <c r="J25" s="21"/>
      <c r="K25" s="21"/>
      <c r="L25" s="21"/>
      <c r="M25" s="21"/>
      <c r="N25" s="21"/>
      <c r="O25" s="21"/>
      <c r="P25" s="21"/>
      <c r="Q25" s="21"/>
      <c r="R25" s="21"/>
      <c r="S25" s="21"/>
      <c r="T25" s="21"/>
      <c r="U25" s="21"/>
      <c r="V25" s="21"/>
      <c r="W25" s="21"/>
      <c r="X25" s="21"/>
      <c r="Y25" s="21"/>
      <c r="Z25" s="21"/>
    </row>
    <row r="26" ht="15.75" customHeight="1">
      <c r="A26" s="35"/>
      <c r="B26" s="30"/>
      <c r="C26" s="28"/>
      <c r="D26" s="21" t="str">
        <f>IFERROR(vlookup(B26,SV!$A$1:$C115,2,false),"")</f>
        <v/>
      </c>
      <c r="E26" s="21" t="str">
        <f>IFERROR(vlookup(B26,SV!$A$1:$C115,3,false),"")</f>
        <v/>
      </c>
      <c r="F26" s="21"/>
      <c r="G26" s="21"/>
      <c r="H26" s="21"/>
      <c r="I26" s="21"/>
      <c r="J26" s="21"/>
      <c r="K26" s="21"/>
      <c r="L26" s="21"/>
      <c r="M26" s="21"/>
      <c r="N26" s="21"/>
      <c r="O26" s="21"/>
      <c r="P26" s="21"/>
      <c r="Q26" s="21"/>
      <c r="R26" s="21"/>
      <c r="S26" s="21"/>
      <c r="T26" s="21"/>
      <c r="U26" s="21"/>
      <c r="V26" s="21"/>
      <c r="W26" s="21"/>
      <c r="X26" s="21"/>
      <c r="Y26" s="21"/>
      <c r="Z26" s="21"/>
    </row>
    <row r="27" ht="15.75" customHeight="1">
      <c r="A27" s="35"/>
      <c r="B27" s="30"/>
      <c r="C27" s="28"/>
      <c r="D27" s="21" t="str">
        <f>IFERROR(vlookup(B27,SV!$A$1:$C115,2,false),"")</f>
        <v/>
      </c>
      <c r="E27" s="21" t="str">
        <f>IFERROR(vlookup(B27,SV!$A$1:$C115,3,false),"")</f>
        <v/>
      </c>
      <c r="F27" s="21"/>
      <c r="G27" s="21"/>
      <c r="H27" s="21"/>
      <c r="I27" s="21"/>
      <c r="J27" s="21"/>
      <c r="K27" s="21"/>
      <c r="L27" s="21"/>
      <c r="M27" s="21"/>
      <c r="N27" s="21"/>
      <c r="O27" s="21"/>
      <c r="P27" s="21"/>
      <c r="Q27" s="21"/>
      <c r="R27" s="21"/>
      <c r="S27" s="21"/>
      <c r="T27" s="21"/>
      <c r="U27" s="21"/>
      <c r="V27" s="21"/>
      <c r="W27" s="21"/>
      <c r="X27" s="21"/>
      <c r="Y27" s="21"/>
      <c r="Z27" s="21"/>
    </row>
    <row r="28" ht="15.75" customHeight="1">
      <c r="A28" s="35"/>
      <c r="B28" s="30"/>
      <c r="C28" s="28"/>
      <c r="D28" s="21" t="str">
        <f>IFERROR(vlookup(B28,SV!$A$1:$C115,2,false),"")</f>
        <v/>
      </c>
      <c r="E28" s="21" t="str">
        <f>IFERROR(vlookup(B28,SV!$A$1:$C115,3,false),"")</f>
        <v/>
      </c>
      <c r="F28" s="21"/>
      <c r="G28" s="21"/>
      <c r="H28" s="21"/>
      <c r="I28" s="21"/>
      <c r="J28" s="21"/>
      <c r="K28" s="21"/>
      <c r="L28" s="21"/>
      <c r="M28" s="21"/>
      <c r="N28" s="21"/>
      <c r="O28" s="21"/>
      <c r="P28" s="21"/>
      <c r="Q28" s="21"/>
      <c r="R28" s="21"/>
      <c r="S28" s="21"/>
      <c r="T28" s="21"/>
      <c r="U28" s="21"/>
      <c r="V28" s="21"/>
      <c r="W28" s="21"/>
      <c r="X28" s="21"/>
      <c r="Y28" s="21"/>
      <c r="Z28" s="21"/>
    </row>
    <row r="29" ht="15.75" customHeight="1">
      <c r="A29" s="36"/>
      <c r="B29" s="37"/>
      <c r="C29" s="38"/>
      <c r="D29" s="21" t="str">
        <f>IFERROR(vlookup(B29,SV!$A$1:$C115,2,false),"")</f>
        <v/>
      </c>
      <c r="E29" s="21" t="str">
        <f>IFERROR(vlookup(B29,SV!$A$1:$C115,3,false),"")</f>
        <v/>
      </c>
      <c r="F29" s="21"/>
      <c r="G29" s="21"/>
      <c r="H29" s="21"/>
      <c r="I29" s="21"/>
      <c r="J29" s="21"/>
      <c r="K29" s="21"/>
      <c r="L29" s="21"/>
      <c r="M29" s="21"/>
      <c r="N29" s="21"/>
      <c r="O29" s="21"/>
      <c r="P29" s="21"/>
      <c r="Q29" s="21"/>
      <c r="R29" s="21"/>
      <c r="S29" s="21"/>
      <c r="T29" s="21"/>
      <c r="U29" s="21"/>
      <c r="V29" s="21"/>
      <c r="W29" s="21"/>
      <c r="X29" s="21"/>
      <c r="Y29" s="21"/>
      <c r="Z29" s="21"/>
    </row>
    <row r="30" ht="15.75" customHeight="1">
      <c r="A30" s="22"/>
      <c r="B30" s="23"/>
      <c r="C30" s="24"/>
      <c r="D30" s="25" t="s">
        <v>9</v>
      </c>
      <c r="E30" s="25" t="s">
        <v>10</v>
      </c>
      <c r="F30" s="21"/>
      <c r="G30" s="21"/>
      <c r="H30" s="21"/>
      <c r="I30" s="21"/>
      <c r="J30" s="21"/>
      <c r="K30" s="21"/>
      <c r="L30" s="21"/>
      <c r="M30" s="21"/>
      <c r="N30" s="21"/>
      <c r="O30" s="21"/>
      <c r="P30" s="21"/>
      <c r="Q30" s="21"/>
      <c r="R30" s="21"/>
      <c r="S30" s="21"/>
      <c r="T30" s="21"/>
      <c r="U30" s="21"/>
      <c r="V30" s="21"/>
      <c r="W30" s="21"/>
      <c r="X30" s="21"/>
      <c r="Y30" s="21"/>
      <c r="Z30" s="21"/>
    </row>
    <row r="31" ht="15.75" customHeight="1">
      <c r="A31" s="26" t="s">
        <v>11</v>
      </c>
      <c r="B31" s="27"/>
      <c r="C31" s="28"/>
      <c r="D31" s="29" t="str">
        <f>IFERROR(vlookup(B31,SV!$A$1:$C115,2,false),"")</f>
        <v/>
      </c>
      <c r="E31" s="29" t="str">
        <f>IFERROR(vlookup(B31,SV!$A$1:$C115,3,false),"")</f>
        <v/>
      </c>
      <c r="F31" s="21"/>
      <c r="G31" s="21"/>
      <c r="H31" s="21"/>
      <c r="I31" s="21"/>
      <c r="J31" s="21"/>
      <c r="K31" s="21"/>
      <c r="L31" s="21"/>
      <c r="M31" s="21"/>
      <c r="N31" s="21"/>
      <c r="O31" s="21"/>
      <c r="P31" s="21"/>
      <c r="Q31" s="21"/>
      <c r="R31" s="21"/>
      <c r="S31" s="21"/>
      <c r="T31" s="21"/>
      <c r="U31" s="21"/>
      <c r="V31" s="21"/>
      <c r="W31" s="21"/>
      <c r="X31" s="21"/>
      <c r="Y31" s="21"/>
      <c r="Z31" s="21"/>
    </row>
    <row r="32" ht="15.75" customHeight="1">
      <c r="A32" s="26" t="s">
        <v>12</v>
      </c>
      <c r="B32" s="30" t="str">
        <f>IFERROR(__xludf.DUMMYFUNCTION("iferror(IMPORTXML(B31, ""//head/title/text()""),"""")"),"")</f>
        <v/>
      </c>
      <c r="C32" s="28"/>
      <c r="D32" s="21" t="str">
        <f>IFERROR(vlookup(B32,SV!$A$1:$C115,2,false),"")</f>
        <v/>
      </c>
      <c r="E32" s="21" t="str">
        <f>IFERROR(vlookup(B32,SV!$A$1:$C115,3,false),"")</f>
        <v/>
      </c>
      <c r="F32" s="21"/>
      <c r="G32" s="21"/>
      <c r="H32" s="21"/>
      <c r="I32" s="21"/>
      <c r="J32" s="21"/>
      <c r="K32" s="21"/>
      <c r="L32" s="21"/>
      <c r="M32" s="21"/>
      <c r="N32" s="21"/>
      <c r="O32" s="21"/>
      <c r="P32" s="21"/>
      <c r="Q32" s="21"/>
      <c r="R32" s="21"/>
      <c r="S32" s="21"/>
      <c r="T32" s="21"/>
      <c r="U32" s="21"/>
      <c r="V32" s="21"/>
      <c r="W32" s="21"/>
      <c r="X32" s="21"/>
      <c r="Y32" s="21"/>
      <c r="Z32" s="21"/>
    </row>
    <row r="33" ht="15.75" customHeight="1">
      <c r="A33" s="31" t="s">
        <v>13</v>
      </c>
      <c r="B33" s="32"/>
      <c r="C33" s="33"/>
      <c r="D33" s="21" t="str">
        <f>IFERROR(vlookup(B33,SV!$A$1:$C115,2,false),"")</f>
        <v/>
      </c>
      <c r="E33" s="21" t="str">
        <f>IFERROR(vlookup(B33,SV!$A$1:$C115,3,false),"")</f>
        <v/>
      </c>
      <c r="F33" s="21"/>
      <c r="G33" s="21"/>
      <c r="H33" s="21"/>
      <c r="I33" s="21"/>
      <c r="J33" s="21"/>
      <c r="K33" s="21"/>
      <c r="L33" s="21"/>
      <c r="M33" s="21"/>
      <c r="N33" s="21"/>
      <c r="O33" s="21"/>
      <c r="P33" s="21"/>
      <c r="Q33" s="21"/>
      <c r="R33" s="21"/>
      <c r="S33" s="21"/>
      <c r="T33" s="21"/>
      <c r="U33" s="21"/>
      <c r="V33" s="21"/>
      <c r="W33" s="21"/>
      <c r="X33" s="21"/>
      <c r="Y33" s="21"/>
      <c r="Z33" s="21"/>
    </row>
    <row r="34" ht="15.75" customHeight="1">
      <c r="A34" s="34" t="s">
        <v>14</v>
      </c>
      <c r="B34" s="30"/>
      <c r="C34" s="28"/>
      <c r="D34" s="21" t="str">
        <f>IFERROR(vlookup(B34,SV!$A$1:$C115,2,false),"")</f>
        <v/>
      </c>
      <c r="E34" s="21" t="str">
        <f>IFERROR(vlookup(B34,SV!$A$1:$C115,3,false),"")</f>
        <v/>
      </c>
      <c r="F34" s="21"/>
      <c r="G34" s="21"/>
      <c r="H34" s="21"/>
      <c r="I34" s="21"/>
      <c r="J34" s="21"/>
      <c r="K34" s="21"/>
      <c r="L34" s="21"/>
      <c r="M34" s="21"/>
      <c r="N34" s="21"/>
      <c r="O34" s="21"/>
      <c r="P34" s="21"/>
      <c r="Q34" s="21"/>
      <c r="R34" s="21"/>
      <c r="S34" s="21"/>
      <c r="T34" s="21"/>
      <c r="U34" s="21"/>
      <c r="V34" s="21"/>
      <c r="W34" s="21"/>
      <c r="X34" s="21"/>
      <c r="Y34" s="21"/>
      <c r="Z34" s="21"/>
    </row>
    <row r="35" ht="15.75" customHeight="1">
      <c r="A35" s="35"/>
      <c r="B35" s="30"/>
      <c r="C35" s="28"/>
      <c r="D35" s="21" t="str">
        <f>IFERROR(vlookup(B35,SV!$A$1:$C115,2,false),"")</f>
        <v/>
      </c>
      <c r="E35" s="21" t="str">
        <f>IFERROR(vlookup(B35,SV!$A$1:$C115,3,false),"")</f>
        <v/>
      </c>
      <c r="F35" s="21"/>
      <c r="G35" s="21"/>
      <c r="H35" s="21"/>
      <c r="I35" s="21"/>
      <c r="J35" s="21"/>
      <c r="K35" s="21"/>
      <c r="L35" s="21"/>
      <c r="M35" s="21"/>
      <c r="N35" s="21"/>
      <c r="O35" s="21"/>
      <c r="P35" s="21"/>
      <c r="Q35" s="21"/>
      <c r="R35" s="21"/>
      <c r="S35" s="21"/>
      <c r="T35" s="21"/>
      <c r="U35" s="21"/>
      <c r="V35" s="21"/>
      <c r="W35" s="21"/>
      <c r="X35" s="21"/>
      <c r="Y35" s="21"/>
      <c r="Z35" s="21"/>
    </row>
    <row r="36" ht="15.75" customHeight="1">
      <c r="A36" s="35"/>
      <c r="B36" s="30"/>
      <c r="C36" s="28"/>
      <c r="D36" s="21" t="str">
        <f>IFERROR(vlookup(B36,SV!$A$1:$C115,2,false),"")</f>
        <v/>
      </c>
      <c r="E36" s="21" t="str">
        <f>IFERROR(vlookup(B36,SV!$A$1:$C115,3,false),"")</f>
        <v/>
      </c>
      <c r="F36" s="21"/>
      <c r="G36" s="21"/>
      <c r="H36" s="21"/>
      <c r="I36" s="21"/>
      <c r="J36" s="21"/>
      <c r="K36" s="21"/>
      <c r="L36" s="21"/>
      <c r="M36" s="21"/>
      <c r="N36" s="21"/>
      <c r="O36" s="21"/>
      <c r="P36" s="21"/>
      <c r="Q36" s="21"/>
      <c r="R36" s="21"/>
      <c r="S36" s="21"/>
      <c r="T36" s="21"/>
      <c r="U36" s="21"/>
      <c r="V36" s="21"/>
      <c r="W36" s="21"/>
      <c r="X36" s="21"/>
      <c r="Y36" s="21"/>
      <c r="Z36" s="21"/>
    </row>
    <row r="37" ht="15.75" customHeight="1">
      <c r="A37" s="35"/>
      <c r="B37" s="30"/>
      <c r="C37" s="28"/>
      <c r="D37" s="21" t="str">
        <f>IFERROR(vlookup(B37,SV!$A$1:$C115,2,false),"")</f>
        <v/>
      </c>
      <c r="E37" s="21" t="str">
        <f>IFERROR(vlookup(B37,SV!$A$1:$C115,3,false),"")</f>
        <v/>
      </c>
      <c r="F37" s="21"/>
      <c r="G37" s="21"/>
      <c r="H37" s="21"/>
      <c r="I37" s="21"/>
      <c r="J37" s="21"/>
      <c r="K37" s="21"/>
      <c r="L37" s="21"/>
      <c r="M37" s="21"/>
      <c r="N37" s="21"/>
      <c r="O37" s="21"/>
      <c r="P37" s="21"/>
      <c r="Q37" s="21"/>
      <c r="R37" s="21"/>
      <c r="S37" s="21"/>
      <c r="T37" s="21"/>
      <c r="U37" s="21"/>
      <c r="V37" s="21"/>
      <c r="W37" s="21"/>
      <c r="X37" s="21"/>
      <c r="Y37" s="21"/>
      <c r="Z37" s="21"/>
    </row>
    <row r="38" ht="15.75" customHeight="1">
      <c r="A38" s="35"/>
      <c r="B38" s="30"/>
      <c r="C38" s="28"/>
      <c r="D38" s="21" t="str">
        <f>IFERROR(vlookup(B38,SV!$A$1:$C115,2,false),"")</f>
        <v/>
      </c>
      <c r="E38" s="21" t="str">
        <f>IFERROR(vlookup(B38,SV!$A$1:$C115,3,false),"")</f>
        <v/>
      </c>
      <c r="F38" s="21"/>
      <c r="G38" s="21"/>
      <c r="H38" s="21"/>
      <c r="I38" s="21"/>
      <c r="J38" s="21"/>
      <c r="K38" s="21"/>
      <c r="L38" s="21"/>
      <c r="M38" s="21"/>
      <c r="N38" s="21"/>
      <c r="O38" s="21"/>
      <c r="P38" s="21"/>
      <c r="Q38" s="21"/>
      <c r="R38" s="21"/>
      <c r="S38" s="21"/>
      <c r="T38" s="21"/>
      <c r="U38" s="21"/>
      <c r="V38" s="21"/>
      <c r="W38" s="21"/>
      <c r="X38" s="21"/>
      <c r="Y38" s="21"/>
      <c r="Z38" s="21"/>
    </row>
    <row r="39" ht="15.75" customHeight="1">
      <c r="A39" s="35"/>
      <c r="B39" s="30"/>
      <c r="C39" s="28"/>
      <c r="D39" s="21" t="str">
        <f>IFERROR(vlookup(B39,SV!$A$1:$C115,2,false),"")</f>
        <v/>
      </c>
      <c r="E39" s="21" t="str">
        <f>IFERROR(vlookup(B39,SV!$A$1:$C115,3,false),"")</f>
        <v/>
      </c>
      <c r="F39" s="21"/>
      <c r="G39" s="21"/>
      <c r="H39" s="21"/>
      <c r="I39" s="21"/>
      <c r="J39" s="21"/>
      <c r="K39" s="21"/>
      <c r="L39" s="21"/>
      <c r="M39" s="21"/>
      <c r="N39" s="21"/>
      <c r="O39" s="21"/>
      <c r="P39" s="21"/>
      <c r="Q39" s="21"/>
      <c r="R39" s="21"/>
      <c r="S39" s="21"/>
      <c r="T39" s="21"/>
      <c r="U39" s="21"/>
      <c r="V39" s="21"/>
      <c r="W39" s="21"/>
      <c r="X39" s="21"/>
      <c r="Y39" s="21"/>
      <c r="Z39" s="21"/>
    </row>
    <row r="40" ht="15.75" customHeight="1">
      <c r="A40" s="35"/>
      <c r="B40" s="30"/>
      <c r="C40" s="28"/>
      <c r="D40" s="21" t="str">
        <f>IFERROR(vlookup(B40,SV!$A$1:$C115,2,false),"")</f>
        <v/>
      </c>
      <c r="E40" s="21" t="str">
        <f>IFERROR(vlookup(B40,SV!$A$1:$C115,3,false),"")</f>
        <v/>
      </c>
      <c r="F40" s="21"/>
      <c r="G40" s="21"/>
      <c r="H40" s="21"/>
      <c r="I40" s="21"/>
      <c r="J40" s="21"/>
      <c r="K40" s="21"/>
      <c r="L40" s="21"/>
      <c r="M40" s="21"/>
      <c r="N40" s="21"/>
      <c r="O40" s="21"/>
      <c r="P40" s="21"/>
      <c r="Q40" s="21"/>
      <c r="R40" s="21"/>
      <c r="S40" s="21"/>
      <c r="T40" s="21"/>
      <c r="U40" s="21"/>
      <c r="V40" s="21"/>
      <c r="W40" s="21"/>
      <c r="X40" s="21"/>
      <c r="Y40" s="21"/>
      <c r="Z40" s="21"/>
    </row>
    <row r="41" ht="15.75" customHeight="1">
      <c r="A41" s="35"/>
      <c r="B41" s="30"/>
      <c r="C41" s="28"/>
      <c r="D41" s="21" t="str">
        <f>IFERROR(vlookup(B41,SV!$A$1:$C115,2,false),"")</f>
        <v/>
      </c>
      <c r="E41" s="21" t="str">
        <f>IFERROR(vlookup(B41,SV!$A$1:$C115,3,false),"")</f>
        <v/>
      </c>
      <c r="F41" s="21"/>
      <c r="G41" s="21"/>
      <c r="H41" s="21"/>
      <c r="I41" s="21"/>
      <c r="J41" s="21"/>
      <c r="K41" s="21"/>
      <c r="L41" s="21"/>
      <c r="M41" s="21"/>
      <c r="N41" s="21"/>
      <c r="O41" s="21"/>
      <c r="P41" s="21"/>
      <c r="Q41" s="21"/>
      <c r="R41" s="21"/>
      <c r="S41" s="21"/>
      <c r="T41" s="21"/>
      <c r="U41" s="21"/>
      <c r="V41" s="21"/>
      <c r="W41" s="21"/>
      <c r="X41" s="21"/>
      <c r="Y41" s="21"/>
      <c r="Z41" s="21"/>
    </row>
    <row r="42" ht="15.75" customHeight="1">
      <c r="A42" s="35"/>
      <c r="B42" s="30"/>
      <c r="C42" s="28"/>
      <c r="D42" s="21" t="str">
        <f>IFERROR(vlookup(B42,SV!$A$1:$C115,2,false),"")</f>
        <v/>
      </c>
      <c r="E42" s="21" t="str">
        <f>IFERROR(vlookup(B42,SV!$A$1:$C115,3,false),"")</f>
        <v/>
      </c>
      <c r="F42" s="21"/>
      <c r="G42" s="21"/>
      <c r="H42" s="21"/>
      <c r="I42" s="21"/>
      <c r="J42" s="21"/>
      <c r="K42" s="21"/>
      <c r="L42" s="21"/>
      <c r="M42" s="21"/>
      <c r="N42" s="21"/>
      <c r="O42" s="21"/>
      <c r="P42" s="21"/>
      <c r="Q42" s="21"/>
      <c r="R42" s="21"/>
      <c r="S42" s="21"/>
      <c r="T42" s="21"/>
      <c r="U42" s="21"/>
      <c r="V42" s="21"/>
      <c r="W42" s="21"/>
      <c r="X42" s="21"/>
      <c r="Y42" s="21"/>
      <c r="Z42" s="21"/>
    </row>
    <row r="43" ht="15.75" customHeight="1">
      <c r="A43" s="36"/>
      <c r="B43" s="37"/>
      <c r="C43" s="38"/>
      <c r="D43" s="21" t="str">
        <f>IFERROR(vlookup(B43,SV!$A$1:$C115,2,false),"")</f>
        <v/>
      </c>
      <c r="E43" s="21" t="str">
        <f>IFERROR(vlookup(B43,SV!$A$1:$C115,3,false),"")</f>
        <v/>
      </c>
      <c r="F43" s="21"/>
      <c r="G43" s="21"/>
      <c r="H43" s="21"/>
      <c r="I43" s="21"/>
      <c r="J43" s="21"/>
      <c r="K43" s="21"/>
      <c r="L43" s="21"/>
      <c r="M43" s="21"/>
      <c r="N43" s="21"/>
      <c r="O43" s="21"/>
      <c r="P43" s="21"/>
      <c r="Q43" s="21"/>
      <c r="R43" s="21"/>
      <c r="S43" s="21"/>
      <c r="T43" s="21"/>
      <c r="U43" s="21"/>
      <c r="V43" s="21"/>
      <c r="W43" s="21"/>
      <c r="X43" s="21"/>
      <c r="Y43" s="21"/>
      <c r="Z43" s="21"/>
    </row>
    <row r="44" ht="15.75" customHeight="1">
      <c r="A44" s="22"/>
      <c r="B44" s="23"/>
      <c r="C44" s="24"/>
      <c r="D44" s="25" t="s">
        <v>9</v>
      </c>
      <c r="E44" s="25" t="s">
        <v>10</v>
      </c>
      <c r="F44" s="21"/>
      <c r="G44" s="21"/>
      <c r="H44" s="21"/>
      <c r="I44" s="21"/>
      <c r="J44" s="21"/>
      <c r="K44" s="21"/>
      <c r="L44" s="21"/>
      <c r="M44" s="21"/>
      <c r="N44" s="21"/>
      <c r="O44" s="21"/>
      <c r="P44" s="21"/>
      <c r="Q44" s="21"/>
      <c r="R44" s="21"/>
      <c r="S44" s="21"/>
      <c r="T44" s="21"/>
      <c r="U44" s="21"/>
      <c r="V44" s="21"/>
      <c r="W44" s="21"/>
      <c r="X44" s="21"/>
      <c r="Y44" s="21"/>
      <c r="Z44" s="21"/>
    </row>
    <row r="45" ht="15.75" customHeight="1">
      <c r="A45" s="26" t="s">
        <v>11</v>
      </c>
      <c r="B45" s="27"/>
      <c r="C45" s="28"/>
      <c r="D45" s="29" t="str">
        <f>IFERROR(vlookup(B45,SV!$A$1:$C115,2,false),"")</f>
        <v/>
      </c>
      <c r="E45" s="29" t="str">
        <f>IFERROR(vlookup(B45,SV!$A$1:$C115,3,false),"")</f>
        <v/>
      </c>
      <c r="F45" s="21"/>
      <c r="G45" s="21"/>
      <c r="H45" s="21"/>
      <c r="I45" s="21"/>
      <c r="J45" s="21"/>
      <c r="K45" s="21"/>
      <c r="L45" s="21"/>
      <c r="M45" s="21"/>
      <c r="N45" s="21"/>
      <c r="O45" s="21"/>
      <c r="P45" s="21"/>
      <c r="Q45" s="21"/>
      <c r="R45" s="21"/>
      <c r="S45" s="21"/>
      <c r="T45" s="21"/>
      <c r="U45" s="21"/>
      <c r="V45" s="21"/>
      <c r="W45" s="21"/>
      <c r="X45" s="21"/>
      <c r="Y45" s="21"/>
      <c r="Z45" s="21"/>
    </row>
    <row r="46" ht="15.75" customHeight="1">
      <c r="A46" s="26" t="s">
        <v>12</v>
      </c>
      <c r="B46" s="30" t="str">
        <f>IFERROR(__xludf.DUMMYFUNCTION("iferror(IMPORTXML(B45, ""//head/title/text()""),"""")"),"")</f>
        <v/>
      </c>
      <c r="C46" s="28"/>
      <c r="D46" s="21" t="str">
        <f>IFERROR(vlookup(B46,SV!$A$1:$C115,2,false),"")</f>
        <v/>
      </c>
      <c r="E46" s="21" t="str">
        <f>IFERROR(vlookup(B46,SV!$A$1:$C115,3,false),"")</f>
        <v/>
      </c>
      <c r="F46" s="21"/>
      <c r="G46" s="21"/>
      <c r="H46" s="21"/>
      <c r="I46" s="21"/>
      <c r="J46" s="21"/>
      <c r="K46" s="21"/>
      <c r="L46" s="21"/>
      <c r="M46" s="21"/>
      <c r="N46" s="21"/>
      <c r="O46" s="21"/>
      <c r="P46" s="21"/>
      <c r="Q46" s="21"/>
      <c r="R46" s="21"/>
      <c r="S46" s="21"/>
      <c r="T46" s="21"/>
      <c r="U46" s="21"/>
      <c r="V46" s="21"/>
      <c r="W46" s="21"/>
      <c r="X46" s="21"/>
      <c r="Y46" s="21"/>
      <c r="Z46" s="21"/>
    </row>
    <row r="47" ht="15.75" customHeight="1">
      <c r="A47" s="31" t="s">
        <v>13</v>
      </c>
      <c r="B47" s="32"/>
      <c r="C47" s="33"/>
      <c r="D47" s="21" t="str">
        <f>IFERROR(vlookup(B47,SV!$A$1:$C115,2,false),"")</f>
        <v/>
      </c>
      <c r="E47" s="21" t="str">
        <f>IFERROR(vlookup(B47,SV!$A$1:$C115,3,false),"")</f>
        <v/>
      </c>
      <c r="F47" s="21"/>
      <c r="G47" s="21"/>
      <c r="H47" s="21"/>
      <c r="I47" s="21"/>
      <c r="J47" s="21"/>
      <c r="K47" s="21"/>
      <c r="L47" s="21"/>
      <c r="M47" s="21"/>
      <c r="N47" s="21"/>
      <c r="O47" s="21"/>
      <c r="P47" s="21"/>
      <c r="Q47" s="21"/>
      <c r="R47" s="21"/>
      <c r="S47" s="21"/>
      <c r="T47" s="21"/>
      <c r="U47" s="21"/>
      <c r="V47" s="21"/>
      <c r="W47" s="21"/>
      <c r="X47" s="21"/>
      <c r="Y47" s="21"/>
      <c r="Z47" s="21"/>
    </row>
    <row r="48" ht="15.75" customHeight="1">
      <c r="A48" s="34" t="s">
        <v>14</v>
      </c>
      <c r="B48" s="30"/>
      <c r="C48" s="28"/>
      <c r="D48" s="21" t="str">
        <f>IFERROR(vlookup(B48,SV!$A$1:$C115,2,false),"")</f>
        <v/>
      </c>
      <c r="E48" s="21" t="str">
        <f>IFERROR(vlookup(B48,SV!$A$1:$C115,3,false),"")</f>
        <v/>
      </c>
      <c r="F48" s="21"/>
      <c r="G48" s="21"/>
      <c r="H48" s="21"/>
      <c r="I48" s="21"/>
      <c r="J48" s="21"/>
      <c r="K48" s="21"/>
      <c r="L48" s="21"/>
      <c r="M48" s="21"/>
      <c r="N48" s="21"/>
      <c r="O48" s="21"/>
      <c r="P48" s="21"/>
      <c r="Q48" s="21"/>
      <c r="R48" s="21"/>
      <c r="S48" s="21"/>
      <c r="T48" s="21"/>
      <c r="U48" s="21"/>
      <c r="V48" s="21"/>
      <c r="W48" s="21"/>
      <c r="X48" s="21"/>
      <c r="Y48" s="21"/>
      <c r="Z48" s="21"/>
    </row>
    <row r="49" ht="15.75" customHeight="1">
      <c r="A49" s="35"/>
      <c r="B49" s="30"/>
      <c r="C49" s="28"/>
      <c r="D49" s="21" t="str">
        <f>IFERROR(vlookup(B49,SV!$A$1:$C115,2,false),"")</f>
        <v/>
      </c>
      <c r="E49" s="21" t="str">
        <f>IFERROR(vlookup(B49,SV!$A$1:$C115,3,false),"")</f>
        <v/>
      </c>
      <c r="F49" s="21"/>
      <c r="G49" s="21"/>
      <c r="H49" s="21"/>
      <c r="I49" s="21"/>
      <c r="J49" s="21"/>
      <c r="K49" s="21"/>
      <c r="L49" s="21"/>
      <c r="M49" s="21"/>
      <c r="N49" s="21"/>
      <c r="O49" s="21"/>
      <c r="P49" s="21"/>
      <c r="Q49" s="21"/>
      <c r="R49" s="21"/>
      <c r="S49" s="21"/>
      <c r="T49" s="21"/>
      <c r="U49" s="21"/>
      <c r="V49" s="21"/>
      <c r="W49" s="21"/>
      <c r="X49" s="21"/>
      <c r="Y49" s="21"/>
      <c r="Z49" s="21"/>
    </row>
    <row r="50" ht="15.75" customHeight="1">
      <c r="A50" s="35"/>
      <c r="B50" s="30"/>
      <c r="C50" s="28"/>
      <c r="D50" s="21" t="str">
        <f>IFERROR(vlookup(B50,SV!$A$1:$C115,2,false),"")</f>
        <v/>
      </c>
      <c r="E50" s="21" t="str">
        <f>IFERROR(vlookup(B50,SV!$A$1:$C115,3,false),"")</f>
        <v/>
      </c>
      <c r="F50" s="21"/>
      <c r="G50" s="21"/>
      <c r="H50" s="21"/>
      <c r="I50" s="21"/>
      <c r="J50" s="21"/>
      <c r="K50" s="21"/>
      <c r="L50" s="21"/>
      <c r="M50" s="21"/>
      <c r="N50" s="21"/>
      <c r="O50" s="21"/>
      <c r="P50" s="21"/>
      <c r="Q50" s="21"/>
      <c r="R50" s="21"/>
      <c r="S50" s="21"/>
      <c r="T50" s="21"/>
      <c r="U50" s="21"/>
      <c r="V50" s="21"/>
      <c r="W50" s="21"/>
      <c r="X50" s="21"/>
      <c r="Y50" s="21"/>
      <c r="Z50" s="21"/>
    </row>
    <row r="51" ht="15.75" customHeight="1">
      <c r="A51" s="35"/>
      <c r="B51" s="30"/>
      <c r="C51" s="28"/>
      <c r="D51" s="21" t="str">
        <f>IFERROR(vlookup(B51,SV!$A$1:$C115,2,false),"")</f>
        <v/>
      </c>
      <c r="E51" s="21" t="str">
        <f>IFERROR(vlookup(B51,SV!$A$1:$C115,3,false),"")</f>
        <v/>
      </c>
      <c r="F51" s="21"/>
      <c r="G51" s="21"/>
      <c r="H51" s="21"/>
      <c r="I51" s="21"/>
      <c r="J51" s="21"/>
      <c r="K51" s="21"/>
      <c r="L51" s="21"/>
      <c r="M51" s="21"/>
      <c r="N51" s="21"/>
      <c r="O51" s="21"/>
      <c r="P51" s="21"/>
      <c r="Q51" s="21"/>
      <c r="R51" s="21"/>
      <c r="S51" s="21"/>
      <c r="T51" s="21"/>
      <c r="U51" s="21"/>
      <c r="V51" s="21"/>
      <c r="W51" s="21"/>
      <c r="X51" s="21"/>
      <c r="Y51" s="21"/>
      <c r="Z51" s="21"/>
    </row>
    <row r="52" ht="15.75" customHeight="1">
      <c r="A52" s="35"/>
      <c r="B52" s="30"/>
      <c r="C52" s="28"/>
      <c r="D52" s="21" t="str">
        <f>IFERROR(vlookup(B52,SV!$A$1:$C115,2,false),"")</f>
        <v/>
      </c>
      <c r="E52" s="21" t="str">
        <f>IFERROR(vlookup(B52,SV!$A$1:$C115,3,false),"")</f>
        <v/>
      </c>
      <c r="F52" s="21"/>
      <c r="G52" s="21"/>
      <c r="H52" s="21"/>
      <c r="I52" s="21"/>
      <c r="J52" s="21"/>
      <c r="K52" s="21"/>
      <c r="L52" s="21"/>
      <c r="M52" s="21"/>
      <c r="N52" s="21"/>
      <c r="O52" s="21"/>
      <c r="P52" s="21"/>
      <c r="Q52" s="21"/>
      <c r="R52" s="21"/>
      <c r="S52" s="21"/>
      <c r="T52" s="21"/>
      <c r="U52" s="21"/>
      <c r="V52" s="21"/>
      <c r="W52" s="21"/>
      <c r="X52" s="21"/>
      <c r="Y52" s="21"/>
      <c r="Z52" s="21"/>
    </row>
    <row r="53" ht="15.75" customHeight="1">
      <c r="A53" s="35"/>
      <c r="B53" s="30"/>
      <c r="C53" s="28"/>
      <c r="D53" s="21" t="str">
        <f>IFERROR(vlookup(B53,SV!$A$1:$C115,2,false),"")</f>
        <v/>
      </c>
      <c r="E53" s="21" t="str">
        <f>IFERROR(vlookup(B53,SV!$A$1:$C115,3,false),"")</f>
        <v/>
      </c>
      <c r="F53" s="21"/>
      <c r="G53" s="21"/>
      <c r="H53" s="21"/>
      <c r="I53" s="21"/>
      <c r="J53" s="21"/>
      <c r="K53" s="21"/>
      <c r="L53" s="21"/>
      <c r="M53" s="21"/>
      <c r="N53" s="21"/>
      <c r="O53" s="21"/>
      <c r="P53" s="21"/>
      <c r="Q53" s="21"/>
      <c r="R53" s="21"/>
      <c r="S53" s="21"/>
      <c r="T53" s="21"/>
      <c r="U53" s="21"/>
      <c r="V53" s="21"/>
      <c r="W53" s="21"/>
      <c r="X53" s="21"/>
      <c r="Y53" s="21"/>
      <c r="Z53" s="21"/>
    </row>
    <row r="54" ht="15.75" customHeight="1">
      <c r="A54" s="35"/>
      <c r="B54" s="30"/>
      <c r="C54" s="28"/>
      <c r="D54" s="21" t="str">
        <f>IFERROR(vlookup(B54,SV!$A$1:$C115,2,false),"")</f>
        <v/>
      </c>
      <c r="E54" s="21" t="str">
        <f>IFERROR(vlookup(B54,SV!$A$1:$C115,3,false),"")</f>
        <v/>
      </c>
      <c r="F54" s="21"/>
      <c r="G54" s="21"/>
      <c r="H54" s="21"/>
      <c r="I54" s="21"/>
      <c r="J54" s="21"/>
      <c r="K54" s="21"/>
      <c r="L54" s="21"/>
      <c r="M54" s="21"/>
      <c r="N54" s="21"/>
      <c r="O54" s="21"/>
      <c r="P54" s="21"/>
      <c r="Q54" s="21"/>
      <c r="R54" s="21"/>
      <c r="S54" s="21"/>
      <c r="T54" s="21"/>
      <c r="U54" s="21"/>
      <c r="V54" s="21"/>
      <c r="W54" s="21"/>
      <c r="X54" s="21"/>
      <c r="Y54" s="21"/>
      <c r="Z54" s="21"/>
    </row>
    <row r="55" ht="15.75" customHeight="1">
      <c r="A55" s="35"/>
      <c r="B55" s="30"/>
      <c r="C55" s="28"/>
      <c r="D55" s="21" t="str">
        <f>IFERROR(vlookup(B55,SV!$A$1:$C115,2,false),"")</f>
        <v/>
      </c>
      <c r="E55" s="21" t="str">
        <f>IFERROR(vlookup(B55,SV!$A$1:$C115,3,false),"")</f>
        <v/>
      </c>
      <c r="F55" s="21"/>
      <c r="G55" s="21"/>
      <c r="H55" s="21"/>
      <c r="I55" s="21"/>
      <c r="J55" s="21"/>
      <c r="K55" s="21"/>
      <c r="L55" s="21"/>
      <c r="M55" s="21"/>
      <c r="N55" s="21"/>
      <c r="O55" s="21"/>
      <c r="P55" s="21"/>
      <c r="Q55" s="21"/>
      <c r="R55" s="21"/>
      <c r="S55" s="21"/>
      <c r="T55" s="21"/>
      <c r="U55" s="21"/>
      <c r="V55" s="21"/>
      <c r="W55" s="21"/>
      <c r="X55" s="21"/>
      <c r="Y55" s="21"/>
      <c r="Z55" s="21"/>
    </row>
    <row r="56" ht="15.75" customHeight="1">
      <c r="A56" s="35"/>
      <c r="B56" s="30"/>
      <c r="C56" s="28"/>
      <c r="D56" s="21" t="str">
        <f>IFERROR(vlookup(B56,SV!$A$1:$C115,2,false),"")</f>
        <v/>
      </c>
      <c r="E56" s="21" t="str">
        <f>IFERROR(vlookup(B56,SV!$A$1:$C115,3,false),"")</f>
        <v/>
      </c>
      <c r="F56" s="21"/>
      <c r="G56" s="21"/>
      <c r="H56" s="21"/>
      <c r="I56" s="21"/>
      <c r="J56" s="21"/>
      <c r="K56" s="21"/>
      <c r="L56" s="21"/>
      <c r="M56" s="21"/>
      <c r="N56" s="21"/>
      <c r="O56" s="21"/>
      <c r="P56" s="21"/>
      <c r="Q56" s="21"/>
      <c r="R56" s="21"/>
      <c r="S56" s="21"/>
      <c r="T56" s="21"/>
      <c r="U56" s="21"/>
      <c r="V56" s="21"/>
      <c r="W56" s="21"/>
      <c r="X56" s="21"/>
      <c r="Y56" s="21"/>
      <c r="Z56" s="21"/>
    </row>
    <row r="57" ht="15.75" customHeight="1">
      <c r="A57" s="36"/>
      <c r="B57" s="37"/>
      <c r="C57" s="38"/>
      <c r="D57" s="21" t="str">
        <f>IFERROR(vlookup(B57,SV!$A$1:$C115,2,false),"")</f>
        <v/>
      </c>
      <c r="E57" s="21" t="str">
        <f>IFERROR(vlookup(B57,SV!$A$1:$C115,3,false),"")</f>
        <v/>
      </c>
      <c r="F57" s="21"/>
      <c r="G57" s="21"/>
      <c r="H57" s="21"/>
      <c r="I57" s="21"/>
      <c r="J57" s="21"/>
      <c r="K57" s="21"/>
      <c r="L57" s="21"/>
      <c r="M57" s="21"/>
      <c r="N57" s="21"/>
      <c r="O57" s="21"/>
      <c r="P57" s="21"/>
      <c r="Q57" s="21"/>
      <c r="R57" s="21"/>
      <c r="S57" s="21"/>
      <c r="T57" s="21"/>
      <c r="U57" s="21"/>
      <c r="V57" s="21"/>
      <c r="W57" s="21"/>
      <c r="X57" s="21"/>
      <c r="Y57" s="21"/>
      <c r="Z57" s="21"/>
    </row>
    <row r="58" ht="15.75" customHeight="1">
      <c r="A58" s="22"/>
      <c r="B58" s="23"/>
      <c r="C58" s="24"/>
      <c r="D58" s="25" t="s">
        <v>9</v>
      </c>
      <c r="E58" s="25" t="s">
        <v>10</v>
      </c>
      <c r="F58" s="21"/>
      <c r="G58" s="21"/>
      <c r="H58" s="21"/>
      <c r="I58" s="21"/>
      <c r="J58" s="21"/>
      <c r="K58" s="21"/>
      <c r="L58" s="21"/>
      <c r="M58" s="21"/>
      <c r="N58" s="21"/>
      <c r="O58" s="21"/>
      <c r="P58" s="21"/>
      <c r="Q58" s="21"/>
      <c r="R58" s="21"/>
      <c r="S58" s="21"/>
      <c r="T58" s="21"/>
      <c r="U58" s="21"/>
      <c r="V58" s="21"/>
      <c r="W58" s="21"/>
      <c r="X58" s="21"/>
      <c r="Y58" s="21"/>
      <c r="Z58" s="21"/>
    </row>
    <row r="59" ht="15.75" customHeight="1">
      <c r="A59" s="26" t="s">
        <v>11</v>
      </c>
      <c r="B59" s="27"/>
      <c r="C59" s="28"/>
      <c r="D59" s="29" t="str">
        <f>IFERROR(vlookup(B59,SV!$A$1:$C115,2,false),"")</f>
        <v/>
      </c>
      <c r="E59" s="29" t="str">
        <f>IFERROR(vlookup(B59,SV!$A$1:$C115,3,false),"")</f>
        <v/>
      </c>
      <c r="F59" s="21"/>
      <c r="G59" s="21"/>
      <c r="H59" s="21"/>
      <c r="I59" s="21"/>
      <c r="J59" s="21"/>
      <c r="K59" s="21"/>
      <c r="L59" s="21"/>
      <c r="M59" s="21"/>
      <c r="N59" s="21"/>
      <c r="O59" s="21"/>
      <c r="P59" s="21"/>
      <c r="Q59" s="21"/>
      <c r="R59" s="21"/>
      <c r="S59" s="21"/>
      <c r="T59" s="21"/>
      <c r="U59" s="21"/>
      <c r="V59" s="21"/>
      <c r="W59" s="21"/>
      <c r="X59" s="21"/>
      <c r="Y59" s="21"/>
      <c r="Z59" s="21"/>
    </row>
    <row r="60" ht="15.75" customHeight="1">
      <c r="A60" s="26" t="s">
        <v>12</v>
      </c>
      <c r="B60" s="30" t="str">
        <f>IFERROR(__xludf.DUMMYFUNCTION("iferror(IMPORTXML(B59, ""//head/title/text()""),"""")"),"")</f>
        <v/>
      </c>
      <c r="C60" s="28"/>
      <c r="D60" s="21" t="str">
        <f>IFERROR(vlookup(B60,SV!$A$1:$C115,2,false),"")</f>
        <v/>
      </c>
      <c r="E60" s="21" t="str">
        <f>IFERROR(vlookup(B60,SV!$A$1:$C115,3,false),"")</f>
        <v/>
      </c>
      <c r="F60" s="21"/>
      <c r="G60" s="21"/>
      <c r="H60" s="21"/>
      <c r="I60" s="21"/>
      <c r="J60" s="21"/>
      <c r="K60" s="21"/>
      <c r="L60" s="21"/>
      <c r="M60" s="21"/>
      <c r="N60" s="21"/>
      <c r="O60" s="21"/>
      <c r="P60" s="21"/>
      <c r="Q60" s="21"/>
      <c r="R60" s="21"/>
      <c r="S60" s="21"/>
      <c r="T60" s="21"/>
      <c r="U60" s="21"/>
      <c r="V60" s="21"/>
      <c r="W60" s="21"/>
      <c r="X60" s="21"/>
      <c r="Y60" s="21"/>
      <c r="Z60" s="21"/>
    </row>
    <row r="61" ht="15.75" customHeight="1">
      <c r="A61" s="31" t="s">
        <v>13</v>
      </c>
      <c r="B61" s="32"/>
      <c r="C61" s="33"/>
      <c r="D61" s="21" t="str">
        <f>IFERROR(vlookup(B61,SV!$A$1:$C115,2,false),"")</f>
        <v/>
      </c>
      <c r="E61" s="21" t="str">
        <f>IFERROR(vlookup(B61,SV!$A$1:$C115,3,false),"")</f>
        <v/>
      </c>
      <c r="F61" s="21"/>
      <c r="G61" s="21"/>
      <c r="H61" s="21"/>
      <c r="I61" s="21"/>
      <c r="J61" s="21"/>
      <c r="K61" s="21"/>
      <c r="L61" s="21"/>
      <c r="M61" s="21"/>
      <c r="N61" s="21"/>
      <c r="O61" s="21"/>
      <c r="P61" s="21"/>
      <c r="Q61" s="21"/>
      <c r="R61" s="21"/>
      <c r="S61" s="21"/>
      <c r="T61" s="21"/>
      <c r="U61" s="21"/>
      <c r="V61" s="21"/>
      <c r="W61" s="21"/>
      <c r="X61" s="21"/>
      <c r="Y61" s="21"/>
      <c r="Z61" s="21"/>
    </row>
    <row r="62" ht="15.75" customHeight="1">
      <c r="A62" s="34" t="s">
        <v>14</v>
      </c>
      <c r="B62" s="30"/>
      <c r="C62" s="28"/>
      <c r="D62" s="21" t="str">
        <f>IFERROR(vlookup(B62,SV!$A$1:$C115,2,false),"")</f>
        <v/>
      </c>
      <c r="E62" s="21" t="str">
        <f>IFERROR(vlookup(B62,SV!$A$1:$C115,3,false),"")</f>
        <v/>
      </c>
      <c r="F62" s="21"/>
      <c r="G62" s="21"/>
      <c r="H62" s="21"/>
      <c r="I62" s="21"/>
      <c r="J62" s="21"/>
      <c r="K62" s="21"/>
      <c r="L62" s="21"/>
      <c r="M62" s="21"/>
      <c r="N62" s="21"/>
      <c r="O62" s="21"/>
      <c r="P62" s="21"/>
      <c r="Q62" s="21"/>
      <c r="R62" s="21"/>
      <c r="S62" s="21"/>
      <c r="T62" s="21"/>
      <c r="U62" s="21"/>
      <c r="V62" s="21"/>
      <c r="W62" s="21"/>
      <c r="X62" s="21"/>
      <c r="Y62" s="21"/>
      <c r="Z62" s="21"/>
    </row>
    <row r="63" ht="15.75" customHeight="1">
      <c r="A63" s="35"/>
      <c r="B63" s="30"/>
      <c r="C63" s="28"/>
      <c r="D63" s="21" t="str">
        <f>IFERROR(vlookup(B63,SV!$A$1:$C115,2,false),"")</f>
        <v/>
      </c>
      <c r="E63" s="21" t="str">
        <f>IFERROR(vlookup(B63,SV!$A$1:$C115,3,false),"")</f>
        <v/>
      </c>
      <c r="F63" s="21"/>
      <c r="G63" s="21"/>
      <c r="H63" s="21"/>
      <c r="I63" s="21"/>
      <c r="J63" s="21"/>
      <c r="K63" s="21"/>
      <c r="L63" s="21"/>
      <c r="M63" s="21"/>
      <c r="N63" s="21"/>
      <c r="O63" s="21"/>
      <c r="P63" s="21"/>
      <c r="Q63" s="21"/>
      <c r="R63" s="21"/>
      <c r="S63" s="21"/>
      <c r="T63" s="21"/>
      <c r="U63" s="21"/>
      <c r="V63" s="21"/>
      <c r="W63" s="21"/>
      <c r="X63" s="21"/>
      <c r="Y63" s="21"/>
      <c r="Z63" s="21"/>
    </row>
    <row r="64" ht="15.75" customHeight="1">
      <c r="A64" s="35"/>
      <c r="B64" s="30"/>
      <c r="C64" s="28"/>
      <c r="D64" s="21" t="str">
        <f>IFERROR(vlookup(B64,SV!$A$1:$C115,2,false),"")</f>
        <v/>
      </c>
      <c r="E64" s="21" t="str">
        <f>IFERROR(vlookup(B64,SV!$A$1:$C115,3,false),"")</f>
        <v/>
      </c>
      <c r="F64" s="21"/>
      <c r="G64" s="21"/>
      <c r="H64" s="21"/>
      <c r="I64" s="21"/>
      <c r="J64" s="21"/>
      <c r="K64" s="21"/>
      <c r="L64" s="21"/>
      <c r="M64" s="21"/>
      <c r="N64" s="21"/>
      <c r="O64" s="21"/>
      <c r="P64" s="21"/>
      <c r="Q64" s="21"/>
      <c r="R64" s="21"/>
      <c r="S64" s="21"/>
      <c r="T64" s="21"/>
      <c r="U64" s="21"/>
      <c r="V64" s="21"/>
      <c r="W64" s="21"/>
      <c r="X64" s="21"/>
      <c r="Y64" s="21"/>
      <c r="Z64" s="21"/>
    </row>
    <row r="65" ht="15.75" customHeight="1">
      <c r="A65" s="35"/>
      <c r="B65" s="30"/>
      <c r="C65" s="28"/>
      <c r="D65" s="21" t="str">
        <f>IFERROR(vlookup(B65,SV!$A$1:$C115,2,false),"")</f>
        <v/>
      </c>
      <c r="E65" s="21" t="str">
        <f>IFERROR(vlookup(B65,SV!$A$1:$C115,3,false),"")</f>
        <v/>
      </c>
      <c r="F65" s="21"/>
      <c r="G65" s="21"/>
      <c r="H65" s="21"/>
      <c r="I65" s="21"/>
      <c r="J65" s="21"/>
      <c r="K65" s="21"/>
      <c r="L65" s="21"/>
      <c r="M65" s="21"/>
      <c r="N65" s="21"/>
      <c r="O65" s="21"/>
      <c r="P65" s="21"/>
      <c r="Q65" s="21"/>
      <c r="R65" s="21"/>
      <c r="S65" s="21"/>
      <c r="T65" s="21"/>
      <c r="U65" s="21"/>
      <c r="V65" s="21"/>
      <c r="W65" s="21"/>
      <c r="X65" s="21"/>
      <c r="Y65" s="21"/>
      <c r="Z65" s="21"/>
    </row>
    <row r="66" ht="15.75" customHeight="1">
      <c r="A66" s="35"/>
      <c r="B66" s="30"/>
      <c r="C66" s="28"/>
      <c r="D66" s="21" t="str">
        <f>IFERROR(vlookup(B66,SV!$A$1:$C115,2,false),"")</f>
        <v/>
      </c>
      <c r="E66" s="21" t="str">
        <f>IFERROR(vlookup(B66,SV!$A$1:$C115,3,false),"")</f>
        <v/>
      </c>
      <c r="F66" s="21"/>
      <c r="G66" s="21"/>
      <c r="H66" s="21"/>
      <c r="I66" s="21"/>
      <c r="J66" s="21"/>
      <c r="K66" s="21"/>
      <c r="L66" s="21"/>
      <c r="M66" s="21"/>
      <c r="N66" s="21"/>
      <c r="O66" s="21"/>
      <c r="P66" s="21"/>
      <c r="Q66" s="21"/>
      <c r="R66" s="21"/>
      <c r="S66" s="21"/>
      <c r="T66" s="21"/>
      <c r="U66" s="21"/>
      <c r="V66" s="21"/>
      <c r="W66" s="21"/>
      <c r="X66" s="21"/>
      <c r="Y66" s="21"/>
      <c r="Z66" s="21"/>
    </row>
    <row r="67" ht="15.75" customHeight="1">
      <c r="A67" s="35"/>
      <c r="B67" s="30"/>
      <c r="C67" s="28"/>
      <c r="D67" s="21" t="str">
        <f>IFERROR(vlookup(B67,SV!$A$1:$C115,2,false),"")</f>
        <v/>
      </c>
      <c r="E67" s="21" t="str">
        <f>IFERROR(vlookup(B67,SV!$A$1:$C115,3,false),"")</f>
        <v/>
      </c>
      <c r="F67" s="21"/>
      <c r="G67" s="21"/>
      <c r="H67" s="21"/>
      <c r="I67" s="21"/>
      <c r="J67" s="21"/>
      <c r="K67" s="21"/>
      <c r="L67" s="21"/>
      <c r="M67" s="21"/>
      <c r="N67" s="21"/>
      <c r="O67" s="21"/>
      <c r="P67" s="21"/>
      <c r="Q67" s="21"/>
      <c r="R67" s="21"/>
      <c r="S67" s="21"/>
      <c r="T67" s="21"/>
      <c r="U67" s="21"/>
      <c r="V67" s="21"/>
      <c r="W67" s="21"/>
      <c r="X67" s="21"/>
      <c r="Y67" s="21"/>
      <c r="Z67" s="21"/>
    </row>
    <row r="68" ht="15.75" customHeight="1">
      <c r="A68" s="35"/>
      <c r="B68" s="30"/>
      <c r="C68" s="28"/>
      <c r="D68" s="21" t="str">
        <f>IFERROR(vlookup(B68,SV!$A$1:$C115,2,false),"")</f>
        <v/>
      </c>
      <c r="E68" s="21" t="str">
        <f>IFERROR(vlookup(B68,SV!$A$1:$C115,3,false),"")</f>
        <v/>
      </c>
      <c r="F68" s="21"/>
      <c r="G68" s="21"/>
      <c r="H68" s="21"/>
      <c r="I68" s="21"/>
      <c r="J68" s="21"/>
      <c r="K68" s="21"/>
      <c r="L68" s="21"/>
      <c r="M68" s="21"/>
      <c r="N68" s="21"/>
      <c r="O68" s="21"/>
      <c r="P68" s="21"/>
      <c r="Q68" s="21"/>
      <c r="R68" s="21"/>
      <c r="S68" s="21"/>
      <c r="T68" s="21"/>
      <c r="U68" s="21"/>
      <c r="V68" s="21"/>
      <c r="W68" s="21"/>
      <c r="X68" s="21"/>
      <c r="Y68" s="21"/>
      <c r="Z68" s="21"/>
    </row>
    <row r="69" ht="15.75" customHeight="1">
      <c r="A69" s="35"/>
      <c r="B69" s="30"/>
      <c r="C69" s="28"/>
      <c r="D69" s="21" t="str">
        <f>IFERROR(vlookup(B69,SV!$A$1:$C115,2,false),"")</f>
        <v/>
      </c>
      <c r="E69" s="21" t="str">
        <f>IFERROR(vlookup(B69,SV!$A$1:$C115,3,false),"")</f>
        <v/>
      </c>
      <c r="F69" s="21"/>
      <c r="G69" s="21"/>
      <c r="H69" s="21"/>
      <c r="I69" s="21"/>
      <c r="J69" s="21"/>
      <c r="K69" s="21"/>
      <c r="L69" s="21"/>
      <c r="M69" s="21"/>
      <c r="N69" s="21"/>
      <c r="O69" s="21"/>
      <c r="P69" s="21"/>
      <c r="Q69" s="21"/>
      <c r="R69" s="21"/>
      <c r="S69" s="21"/>
      <c r="T69" s="21"/>
      <c r="U69" s="21"/>
      <c r="V69" s="21"/>
      <c r="W69" s="21"/>
      <c r="X69" s="21"/>
      <c r="Y69" s="21"/>
      <c r="Z69" s="21"/>
    </row>
    <row r="70" ht="15.75" customHeight="1">
      <c r="A70" s="35"/>
      <c r="B70" s="30"/>
      <c r="C70" s="28"/>
      <c r="D70" s="21" t="str">
        <f>IFERROR(vlookup(B70,SV!$A$1:$C115,2,false),"")</f>
        <v/>
      </c>
      <c r="E70" s="21" t="str">
        <f>IFERROR(vlookup(B70,SV!$A$1:$C115,3,false),"")</f>
        <v/>
      </c>
      <c r="F70" s="21"/>
      <c r="G70" s="21"/>
      <c r="H70" s="21"/>
      <c r="I70" s="21"/>
      <c r="J70" s="21"/>
      <c r="K70" s="21"/>
      <c r="L70" s="21"/>
      <c r="M70" s="21"/>
      <c r="N70" s="21"/>
      <c r="O70" s="21"/>
      <c r="P70" s="21"/>
      <c r="Q70" s="21"/>
      <c r="R70" s="21"/>
      <c r="S70" s="21"/>
      <c r="T70" s="21"/>
      <c r="U70" s="21"/>
      <c r="V70" s="21"/>
      <c r="W70" s="21"/>
      <c r="X70" s="21"/>
      <c r="Y70" s="21"/>
      <c r="Z70" s="21"/>
    </row>
    <row r="71" ht="15.75" customHeight="1">
      <c r="A71" s="36"/>
      <c r="B71" s="37"/>
      <c r="C71" s="38"/>
      <c r="D71" s="21" t="str">
        <f>IFERROR(vlookup(B71,SV!$A$1:$C115,2,false),"")</f>
        <v/>
      </c>
      <c r="E71" s="21" t="str">
        <f>IFERROR(vlookup(B71,SV!$A$1:$C115,3,false),"")</f>
        <v/>
      </c>
      <c r="F71" s="21"/>
      <c r="G71" s="21"/>
      <c r="H71" s="21"/>
      <c r="I71" s="21"/>
      <c r="J71" s="21"/>
      <c r="K71" s="21"/>
      <c r="L71" s="21"/>
      <c r="M71" s="21"/>
      <c r="N71" s="21"/>
      <c r="O71" s="21"/>
      <c r="P71" s="21"/>
      <c r="Q71" s="21"/>
      <c r="R71" s="21"/>
      <c r="S71" s="21"/>
      <c r="T71" s="21"/>
      <c r="U71" s="21"/>
      <c r="V71" s="21"/>
      <c r="W71" s="21"/>
      <c r="X71" s="21"/>
      <c r="Y71" s="21"/>
      <c r="Z71" s="21"/>
    </row>
    <row r="72" ht="15.75" customHeight="1">
      <c r="A72" s="22"/>
      <c r="B72" s="23"/>
      <c r="C72" s="24"/>
      <c r="D72" s="25" t="s">
        <v>9</v>
      </c>
      <c r="E72" s="25" t="s">
        <v>10</v>
      </c>
      <c r="F72" s="21"/>
      <c r="G72" s="21"/>
      <c r="H72" s="21"/>
      <c r="I72" s="21"/>
      <c r="J72" s="21"/>
      <c r="K72" s="21"/>
      <c r="L72" s="21"/>
      <c r="M72" s="21"/>
      <c r="N72" s="21"/>
      <c r="O72" s="21"/>
      <c r="P72" s="21"/>
      <c r="Q72" s="21"/>
      <c r="R72" s="21"/>
      <c r="S72" s="21"/>
      <c r="T72" s="21"/>
      <c r="U72" s="21"/>
      <c r="V72" s="21"/>
      <c r="W72" s="21"/>
      <c r="X72" s="21"/>
      <c r="Y72" s="21"/>
      <c r="Z72" s="21"/>
    </row>
    <row r="73" ht="15.75" customHeight="1">
      <c r="A73" s="26" t="s">
        <v>11</v>
      </c>
      <c r="B73" s="27"/>
      <c r="C73" s="28"/>
      <c r="D73" s="29" t="str">
        <f>IFERROR(vlookup(B73,SV!$A$1:$C115,2,false),"")</f>
        <v/>
      </c>
      <c r="E73" s="29" t="str">
        <f>IFERROR(vlookup(B73,SV!$A$1:$C115,3,false),"")</f>
        <v/>
      </c>
      <c r="F73" s="21"/>
      <c r="G73" s="21"/>
      <c r="H73" s="21"/>
      <c r="I73" s="21"/>
      <c r="J73" s="21"/>
      <c r="K73" s="21"/>
      <c r="L73" s="21"/>
      <c r="M73" s="21"/>
      <c r="N73" s="21"/>
      <c r="O73" s="21"/>
      <c r="P73" s="21"/>
      <c r="Q73" s="21"/>
      <c r="R73" s="21"/>
      <c r="S73" s="21"/>
      <c r="T73" s="21"/>
      <c r="U73" s="21"/>
      <c r="V73" s="21"/>
      <c r="W73" s="21"/>
      <c r="X73" s="21"/>
      <c r="Y73" s="21"/>
      <c r="Z73" s="21"/>
    </row>
    <row r="74" ht="15.75" customHeight="1">
      <c r="A74" s="26" t="s">
        <v>12</v>
      </c>
      <c r="B74" s="30" t="str">
        <f>IFERROR(__xludf.DUMMYFUNCTION("iferror(IMPORTXML(B73, ""//head/title/text()""),"""")"),"")</f>
        <v/>
      </c>
      <c r="C74" s="28"/>
      <c r="D74" s="21" t="str">
        <f>IFERROR(vlookup(B74,SV!$A$1:$C115,2,false),"")</f>
        <v/>
      </c>
      <c r="E74" s="21" t="str">
        <f>IFERROR(vlookup(B74,SV!$A$1:$C115,3,false),"")</f>
        <v/>
      </c>
      <c r="F74" s="21"/>
      <c r="G74" s="21"/>
      <c r="H74" s="21"/>
      <c r="I74" s="21"/>
      <c r="J74" s="21"/>
      <c r="K74" s="21"/>
      <c r="L74" s="21"/>
      <c r="M74" s="21"/>
      <c r="N74" s="21"/>
      <c r="O74" s="21"/>
      <c r="P74" s="21"/>
      <c r="Q74" s="21"/>
      <c r="R74" s="21"/>
      <c r="S74" s="21"/>
      <c r="T74" s="21"/>
      <c r="U74" s="21"/>
      <c r="V74" s="21"/>
      <c r="W74" s="21"/>
      <c r="X74" s="21"/>
      <c r="Y74" s="21"/>
      <c r="Z74" s="21"/>
    </row>
    <row r="75" ht="15.75" customHeight="1">
      <c r="A75" s="31" t="s">
        <v>13</v>
      </c>
      <c r="B75" s="32"/>
      <c r="C75" s="33"/>
      <c r="D75" s="21" t="str">
        <f>IFERROR(vlookup(B75,SV!$A$1:$C115,2,false),"")</f>
        <v/>
      </c>
      <c r="E75" s="21" t="str">
        <f>IFERROR(vlookup(B75,SV!$A$1:$C115,3,false),"")</f>
        <v/>
      </c>
      <c r="F75" s="21"/>
      <c r="G75" s="21"/>
      <c r="H75" s="21"/>
      <c r="I75" s="21"/>
      <c r="J75" s="21"/>
      <c r="K75" s="21"/>
      <c r="L75" s="21"/>
      <c r="M75" s="21"/>
      <c r="N75" s="21"/>
      <c r="O75" s="21"/>
      <c r="P75" s="21"/>
      <c r="Q75" s="21"/>
      <c r="R75" s="21"/>
      <c r="S75" s="21"/>
      <c r="T75" s="21"/>
      <c r="U75" s="21"/>
      <c r="V75" s="21"/>
      <c r="W75" s="21"/>
      <c r="X75" s="21"/>
      <c r="Y75" s="21"/>
      <c r="Z75" s="21"/>
    </row>
    <row r="76" ht="15.75" customHeight="1">
      <c r="A76" s="34" t="s">
        <v>14</v>
      </c>
      <c r="B76" s="30"/>
      <c r="C76" s="28"/>
      <c r="D76" s="21" t="str">
        <f>IFERROR(vlookup(B76,SV!$A$1:$C115,2,false),"")</f>
        <v/>
      </c>
      <c r="E76" s="21" t="str">
        <f>IFERROR(vlookup(B76,SV!$A$1:$C115,3,false),"")</f>
        <v/>
      </c>
      <c r="F76" s="21"/>
      <c r="G76" s="21"/>
      <c r="H76" s="21"/>
      <c r="I76" s="21"/>
      <c r="J76" s="21"/>
      <c r="K76" s="21"/>
      <c r="L76" s="21"/>
      <c r="M76" s="21"/>
      <c r="N76" s="21"/>
      <c r="O76" s="21"/>
      <c r="P76" s="21"/>
      <c r="Q76" s="21"/>
      <c r="R76" s="21"/>
      <c r="S76" s="21"/>
      <c r="T76" s="21"/>
      <c r="U76" s="21"/>
      <c r="V76" s="21"/>
      <c r="W76" s="21"/>
      <c r="X76" s="21"/>
      <c r="Y76" s="21"/>
      <c r="Z76" s="21"/>
    </row>
    <row r="77" ht="15.75" customHeight="1">
      <c r="A77" s="35"/>
      <c r="B77" s="30"/>
      <c r="C77" s="28"/>
      <c r="D77" s="21" t="str">
        <f>IFERROR(vlookup(B77,SV!$A$1:$C115,2,false),"")</f>
        <v/>
      </c>
      <c r="E77" s="21" t="str">
        <f>IFERROR(vlookup(B77,SV!$A$1:$C115,3,false),"")</f>
        <v/>
      </c>
      <c r="F77" s="21"/>
      <c r="G77" s="21"/>
      <c r="H77" s="21"/>
      <c r="I77" s="21"/>
      <c r="J77" s="21"/>
      <c r="K77" s="21"/>
      <c r="L77" s="21"/>
      <c r="M77" s="21"/>
      <c r="N77" s="21"/>
      <c r="O77" s="21"/>
      <c r="P77" s="21"/>
      <c r="Q77" s="21"/>
      <c r="R77" s="21"/>
      <c r="S77" s="21"/>
      <c r="T77" s="21"/>
      <c r="U77" s="21"/>
      <c r="V77" s="21"/>
      <c r="W77" s="21"/>
      <c r="X77" s="21"/>
      <c r="Y77" s="21"/>
      <c r="Z77" s="21"/>
    </row>
    <row r="78" ht="15.75" customHeight="1">
      <c r="A78" s="35"/>
      <c r="B78" s="30"/>
      <c r="C78" s="28"/>
      <c r="D78" s="21" t="str">
        <f>IFERROR(vlookup(B78,SV!$A$1:$C115,2,false),"")</f>
        <v/>
      </c>
      <c r="E78" s="21" t="str">
        <f>IFERROR(vlookup(B78,SV!$A$1:$C115,3,false),"")</f>
        <v/>
      </c>
      <c r="F78" s="21"/>
      <c r="G78" s="21"/>
      <c r="H78" s="21"/>
      <c r="I78" s="21"/>
      <c r="J78" s="21"/>
      <c r="K78" s="21"/>
      <c r="L78" s="21"/>
      <c r="M78" s="21"/>
      <c r="N78" s="21"/>
      <c r="O78" s="21"/>
      <c r="P78" s="21"/>
      <c r="Q78" s="21"/>
      <c r="R78" s="21"/>
      <c r="S78" s="21"/>
      <c r="T78" s="21"/>
      <c r="U78" s="21"/>
      <c r="V78" s="21"/>
      <c r="W78" s="21"/>
      <c r="X78" s="21"/>
      <c r="Y78" s="21"/>
      <c r="Z78" s="21"/>
    </row>
    <row r="79" ht="15.75" customHeight="1">
      <c r="A79" s="35"/>
      <c r="B79" s="30"/>
      <c r="C79" s="28"/>
      <c r="D79" s="21" t="str">
        <f>IFERROR(vlookup(B79,SV!$A$1:$C115,2,false),"")</f>
        <v/>
      </c>
      <c r="E79" s="21" t="str">
        <f>IFERROR(vlookup(B79,SV!$A$1:$C115,3,false),"")</f>
        <v/>
      </c>
      <c r="F79" s="21"/>
      <c r="G79" s="21"/>
      <c r="H79" s="21"/>
      <c r="I79" s="21"/>
      <c r="J79" s="21"/>
      <c r="K79" s="21"/>
      <c r="L79" s="21"/>
      <c r="M79" s="21"/>
      <c r="N79" s="21"/>
      <c r="O79" s="21"/>
      <c r="P79" s="21"/>
      <c r="Q79" s="21"/>
      <c r="R79" s="21"/>
      <c r="S79" s="21"/>
      <c r="T79" s="21"/>
      <c r="U79" s="21"/>
      <c r="V79" s="21"/>
      <c r="W79" s="21"/>
      <c r="X79" s="21"/>
      <c r="Y79" s="21"/>
      <c r="Z79" s="21"/>
    </row>
    <row r="80" ht="15.75" customHeight="1">
      <c r="A80" s="35"/>
      <c r="B80" s="30"/>
      <c r="C80" s="28"/>
      <c r="D80" s="21" t="str">
        <f>IFERROR(vlookup(B80,SV!$A$1:$C115,2,false),"")</f>
        <v/>
      </c>
      <c r="E80" s="21" t="str">
        <f>IFERROR(vlookup(B80,SV!$A$1:$C115,3,false),"")</f>
        <v/>
      </c>
      <c r="F80" s="21"/>
      <c r="G80" s="21"/>
      <c r="H80" s="21"/>
      <c r="I80" s="21"/>
      <c r="J80" s="21"/>
      <c r="K80" s="21"/>
      <c r="L80" s="21"/>
      <c r="M80" s="21"/>
      <c r="N80" s="21"/>
      <c r="O80" s="21"/>
      <c r="P80" s="21"/>
      <c r="Q80" s="21"/>
      <c r="R80" s="21"/>
      <c r="S80" s="21"/>
      <c r="T80" s="21"/>
      <c r="U80" s="21"/>
      <c r="V80" s="21"/>
      <c r="W80" s="21"/>
      <c r="X80" s="21"/>
      <c r="Y80" s="21"/>
      <c r="Z80" s="21"/>
    </row>
    <row r="81" ht="15.75" customHeight="1">
      <c r="A81" s="35"/>
      <c r="B81" s="30"/>
      <c r="C81" s="28"/>
      <c r="D81" s="21" t="str">
        <f>IFERROR(vlookup(B81,SV!$A$1:$C115,2,false),"")</f>
        <v/>
      </c>
      <c r="E81" s="21" t="str">
        <f>IFERROR(vlookup(B81,SV!$A$1:$C115,3,false),"")</f>
        <v/>
      </c>
      <c r="F81" s="21"/>
      <c r="G81" s="21"/>
      <c r="H81" s="21"/>
      <c r="I81" s="21"/>
      <c r="J81" s="21"/>
      <c r="K81" s="21"/>
      <c r="L81" s="21"/>
      <c r="M81" s="21"/>
      <c r="N81" s="21"/>
      <c r="O81" s="21"/>
      <c r="P81" s="21"/>
      <c r="Q81" s="21"/>
      <c r="R81" s="21"/>
      <c r="S81" s="21"/>
      <c r="T81" s="21"/>
      <c r="U81" s="21"/>
      <c r="V81" s="21"/>
      <c r="W81" s="21"/>
      <c r="X81" s="21"/>
      <c r="Y81" s="21"/>
      <c r="Z81" s="21"/>
    </row>
    <row r="82" ht="15.75" customHeight="1">
      <c r="A82" s="35"/>
      <c r="B82" s="30"/>
      <c r="C82" s="28"/>
      <c r="D82" s="21" t="str">
        <f>IFERROR(vlookup(B82,SV!$A$1:$C115,2,false),"")</f>
        <v/>
      </c>
      <c r="E82" s="21" t="str">
        <f>IFERROR(vlookup(B82,SV!$A$1:$C115,3,false),"")</f>
        <v/>
      </c>
      <c r="F82" s="21"/>
      <c r="G82" s="21"/>
      <c r="H82" s="21"/>
      <c r="I82" s="21"/>
      <c r="J82" s="21"/>
      <c r="K82" s="21"/>
      <c r="L82" s="21"/>
      <c r="M82" s="21"/>
      <c r="N82" s="21"/>
      <c r="O82" s="21"/>
      <c r="P82" s="21"/>
      <c r="Q82" s="21"/>
      <c r="R82" s="21"/>
      <c r="S82" s="21"/>
      <c r="T82" s="21"/>
      <c r="U82" s="21"/>
      <c r="V82" s="21"/>
      <c r="W82" s="21"/>
      <c r="X82" s="21"/>
      <c r="Y82" s="21"/>
      <c r="Z82" s="21"/>
    </row>
    <row r="83" ht="15.75" customHeight="1">
      <c r="A83" s="35"/>
      <c r="B83" s="30"/>
      <c r="C83" s="28"/>
      <c r="D83" s="21" t="str">
        <f>IFERROR(vlookup(B83,SV!$A$1:$C115,2,false),"")</f>
        <v/>
      </c>
      <c r="E83" s="21" t="str">
        <f>IFERROR(vlookup(B83,SV!$A$1:$C115,3,false),"")</f>
        <v/>
      </c>
      <c r="F83" s="21"/>
      <c r="G83" s="21"/>
      <c r="H83" s="21"/>
      <c r="I83" s="21"/>
      <c r="J83" s="21"/>
      <c r="K83" s="21"/>
      <c r="L83" s="21"/>
      <c r="M83" s="21"/>
      <c r="N83" s="21"/>
      <c r="O83" s="21"/>
      <c r="P83" s="21"/>
      <c r="Q83" s="21"/>
      <c r="R83" s="21"/>
      <c r="S83" s="21"/>
      <c r="T83" s="21"/>
      <c r="U83" s="21"/>
      <c r="V83" s="21"/>
      <c r="W83" s="21"/>
      <c r="X83" s="21"/>
      <c r="Y83" s="21"/>
      <c r="Z83" s="21"/>
    </row>
    <row r="84" ht="15.75" customHeight="1">
      <c r="A84" s="35"/>
      <c r="B84" s="30"/>
      <c r="C84" s="28"/>
      <c r="D84" s="21" t="str">
        <f>IFERROR(vlookup(B84,SV!$A$1:$C115,2,false),"")</f>
        <v/>
      </c>
      <c r="E84" s="21" t="str">
        <f>IFERROR(vlookup(B84,SV!$A$1:$C115,3,false),"")</f>
        <v/>
      </c>
      <c r="F84" s="21"/>
      <c r="G84" s="21"/>
      <c r="H84" s="21"/>
      <c r="I84" s="21"/>
      <c r="J84" s="21"/>
      <c r="K84" s="21"/>
      <c r="L84" s="21"/>
      <c r="M84" s="21"/>
      <c r="N84" s="21"/>
      <c r="O84" s="21"/>
      <c r="P84" s="21"/>
      <c r="Q84" s="21"/>
      <c r="R84" s="21"/>
      <c r="S84" s="21"/>
      <c r="T84" s="21"/>
      <c r="U84" s="21"/>
      <c r="V84" s="21"/>
      <c r="W84" s="21"/>
      <c r="X84" s="21"/>
      <c r="Y84" s="21"/>
      <c r="Z84" s="21"/>
    </row>
    <row r="85" ht="15.75" customHeight="1">
      <c r="A85" s="36"/>
      <c r="B85" s="37"/>
      <c r="C85" s="38"/>
      <c r="D85" s="21" t="str">
        <f>IFERROR(vlookup(B85,SV!$A$1:$C115,2,false),"")</f>
        <v/>
      </c>
      <c r="E85" s="21" t="str">
        <f>IFERROR(vlookup(B85,SV!$A$1:$C115,3,false),"")</f>
        <v/>
      </c>
      <c r="F85" s="21"/>
      <c r="G85" s="21"/>
      <c r="H85" s="21"/>
      <c r="I85" s="21"/>
      <c r="J85" s="21"/>
      <c r="K85" s="21"/>
      <c r="L85" s="21"/>
      <c r="M85" s="21"/>
      <c r="N85" s="21"/>
      <c r="O85" s="21"/>
      <c r="P85" s="21"/>
      <c r="Q85" s="21"/>
      <c r="R85" s="21"/>
      <c r="S85" s="21"/>
      <c r="T85" s="21"/>
      <c r="U85" s="21"/>
      <c r="V85" s="21"/>
      <c r="W85" s="21"/>
      <c r="X85" s="21"/>
      <c r="Y85" s="21"/>
      <c r="Z85" s="21"/>
    </row>
    <row r="86" ht="15.75" customHeight="1">
      <c r="A86" s="22"/>
      <c r="B86" s="23"/>
      <c r="C86" s="24"/>
      <c r="D86" s="25" t="s">
        <v>9</v>
      </c>
      <c r="E86" s="25" t="s">
        <v>10</v>
      </c>
      <c r="F86" s="21"/>
      <c r="G86" s="21"/>
      <c r="H86" s="21"/>
      <c r="I86" s="21"/>
      <c r="J86" s="21"/>
      <c r="K86" s="21"/>
      <c r="L86" s="21"/>
      <c r="M86" s="21"/>
      <c r="N86" s="21"/>
      <c r="O86" s="21"/>
      <c r="P86" s="21"/>
      <c r="Q86" s="21"/>
      <c r="R86" s="21"/>
      <c r="S86" s="21"/>
      <c r="T86" s="21"/>
      <c r="U86" s="21"/>
      <c r="V86" s="21"/>
      <c r="W86" s="21"/>
      <c r="X86" s="21"/>
      <c r="Y86" s="21"/>
      <c r="Z86" s="21"/>
    </row>
    <row r="87" ht="15.75" customHeight="1">
      <c r="A87" s="26" t="s">
        <v>11</v>
      </c>
      <c r="B87" s="27"/>
      <c r="C87" s="28"/>
      <c r="D87" s="29" t="str">
        <f>IFERROR(vlookup(B87,SV!$A$1:$C115,2,false),"")</f>
        <v/>
      </c>
      <c r="E87" s="29" t="str">
        <f>IFERROR(vlookup(B87,SV!$A$1:$C115,3,false),"")</f>
        <v/>
      </c>
      <c r="F87" s="21"/>
      <c r="G87" s="21"/>
      <c r="H87" s="21"/>
      <c r="I87" s="21"/>
      <c r="J87" s="21"/>
      <c r="K87" s="21"/>
      <c r="L87" s="21"/>
      <c r="M87" s="21"/>
      <c r="N87" s="21"/>
      <c r="O87" s="21"/>
      <c r="P87" s="21"/>
      <c r="Q87" s="21"/>
      <c r="R87" s="21"/>
      <c r="S87" s="21"/>
      <c r="T87" s="21"/>
      <c r="U87" s="21"/>
      <c r="V87" s="21"/>
      <c r="W87" s="21"/>
      <c r="X87" s="21"/>
      <c r="Y87" s="21"/>
      <c r="Z87" s="21"/>
    </row>
    <row r="88" ht="15.75" customHeight="1">
      <c r="A88" s="26" t="s">
        <v>12</v>
      </c>
      <c r="B88" s="30" t="str">
        <f>IFERROR(__xludf.DUMMYFUNCTION("iferror(IMPORTXML(B87, ""//head/title/text()""),"""")"),"")</f>
        <v/>
      </c>
      <c r="C88" s="28"/>
      <c r="D88" s="21" t="str">
        <f>IFERROR(vlookup(B88,SV!$A$1:$C115,2,false),"")</f>
        <v/>
      </c>
      <c r="E88" s="21" t="str">
        <f>IFERROR(vlookup(B88,SV!$A$1:$C115,3,false),"")</f>
        <v/>
      </c>
      <c r="F88" s="21"/>
      <c r="G88" s="21"/>
      <c r="H88" s="21"/>
      <c r="I88" s="21"/>
      <c r="J88" s="21"/>
      <c r="K88" s="21"/>
      <c r="L88" s="21"/>
      <c r="M88" s="21"/>
      <c r="N88" s="21"/>
      <c r="O88" s="21"/>
      <c r="P88" s="21"/>
      <c r="Q88" s="21"/>
      <c r="R88" s="21"/>
      <c r="S88" s="21"/>
      <c r="T88" s="21"/>
      <c r="U88" s="21"/>
      <c r="V88" s="21"/>
      <c r="W88" s="21"/>
      <c r="X88" s="21"/>
      <c r="Y88" s="21"/>
      <c r="Z88" s="21"/>
    </row>
    <row r="89" ht="15.75" customHeight="1">
      <c r="A89" s="31" t="s">
        <v>13</v>
      </c>
      <c r="B89" s="32"/>
      <c r="C89" s="33"/>
      <c r="D89" s="21" t="str">
        <f>IFERROR(vlookup(B89,SV!$A$1:$C115,2,false),"")</f>
        <v/>
      </c>
      <c r="E89" s="21" t="str">
        <f>IFERROR(vlookup(B89,SV!$A$1:$C115,3,false),"")</f>
        <v/>
      </c>
      <c r="F89" s="21"/>
      <c r="G89" s="21"/>
      <c r="H89" s="21"/>
      <c r="I89" s="21"/>
      <c r="J89" s="21"/>
      <c r="K89" s="21"/>
      <c r="L89" s="21"/>
      <c r="M89" s="21"/>
      <c r="N89" s="21"/>
      <c r="O89" s="21"/>
      <c r="P89" s="21"/>
      <c r="Q89" s="21"/>
      <c r="R89" s="21"/>
      <c r="S89" s="21"/>
      <c r="T89" s="21"/>
      <c r="U89" s="21"/>
      <c r="V89" s="21"/>
      <c r="W89" s="21"/>
      <c r="X89" s="21"/>
      <c r="Y89" s="21"/>
      <c r="Z89" s="21"/>
    </row>
    <row r="90" ht="15.75" customHeight="1">
      <c r="A90" s="34" t="s">
        <v>14</v>
      </c>
      <c r="B90" s="30"/>
      <c r="C90" s="28"/>
      <c r="D90" s="21" t="str">
        <f>IFERROR(vlookup(B90,SV!$A$1:$C115,2,false),"")</f>
        <v/>
      </c>
      <c r="E90" s="21" t="str">
        <f>IFERROR(vlookup(B90,SV!$A$1:$C115,3,false),"")</f>
        <v/>
      </c>
      <c r="F90" s="21"/>
      <c r="G90" s="21"/>
      <c r="H90" s="21"/>
      <c r="I90" s="21"/>
      <c r="J90" s="21"/>
      <c r="K90" s="21"/>
      <c r="L90" s="21"/>
      <c r="M90" s="21"/>
      <c r="N90" s="21"/>
      <c r="O90" s="21"/>
      <c r="P90" s="21"/>
      <c r="Q90" s="21"/>
      <c r="R90" s="21"/>
      <c r="S90" s="21"/>
      <c r="T90" s="21"/>
      <c r="U90" s="21"/>
      <c r="V90" s="21"/>
      <c r="W90" s="21"/>
      <c r="X90" s="21"/>
      <c r="Y90" s="21"/>
      <c r="Z90" s="21"/>
    </row>
    <row r="91" ht="15.75" customHeight="1">
      <c r="A91" s="35"/>
      <c r="B91" s="30"/>
      <c r="C91" s="28"/>
      <c r="D91" s="21" t="str">
        <f>IFERROR(vlookup(B91,SV!$A$1:$C115,2,false),"")</f>
        <v/>
      </c>
      <c r="E91" s="21" t="str">
        <f>IFERROR(vlookup(B91,SV!$A$1:$C115,3,false),"")</f>
        <v/>
      </c>
      <c r="F91" s="21"/>
      <c r="G91" s="21"/>
      <c r="H91" s="21"/>
      <c r="I91" s="21"/>
      <c r="J91" s="21"/>
      <c r="K91" s="21"/>
      <c r="L91" s="21"/>
      <c r="M91" s="21"/>
      <c r="N91" s="21"/>
      <c r="O91" s="21"/>
      <c r="P91" s="21"/>
      <c r="Q91" s="21"/>
      <c r="R91" s="21"/>
      <c r="S91" s="21"/>
      <c r="T91" s="21"/>
      <c r="U91" s="21"/>
      <c r="V91" s="21"/>
      <c r="W91" s="21"/>
      <c r="X91" s="21"/>
      <c r="Y91" s="21"/>
      <c r="Z91" s="21"/>
    </row>
    <row r="92" ht="15.75" customHeight="1">
      <c r="A92" s="35"/>
      <c r="B92" s="30"/>
      <c r="C92" s="28"/>
      <c r="D92" s="21" t="str">
        <f>IFERROR(vlookup(B92,SV!$A$1:$C115,2,false),"")</f>
        <v/>
      </c>
      <c r="E92" s="21" t="str">
        <f>IFERROR(vlookup(B92,SV!$A$1:$C115,3,false),"")</f>
        <v/>
      </c>
      <c r="F92" s="21"/>
      <c r="G92" s="21"/>
      <c r="H92" s="21"/>
      <c r="I92" s="21"/>
      <c r="J92" s="21"/>
      <c r="K92" s="21"/>
      <c r="L92" s="21"/>
      <c r="M92" s="21"/>
      <c r="N92" s="21"/>
      <c r="O92" s="21"/>
      <c r="P92" s="21"/>
      <c r="Q92" s="21"/>
      <c r="R92" s="21"/>
      <c r="S92" s="21"/>
      <c r="T92" s="21"/>
      <c r="U92" s="21"/>
      <c r="V92" s="21"/>
      <c r="W92" s="21"/>
      <c r="X92" s="21"/>
      <c r="Y92" s="21"/>
      <c r="Z92" s="21"/>
    </row>
    <row r="93" ht="15.75" customHeight="1">
      <c r="A93" s="35"/>
      <c r="B93" s="30"/>
      <c r="C93" s="28"/>
      <c r="D93" s="21" t="str">
        <f>IFERROR(vlookup(B93,SV!$A$1:$C115,2,false),"")</f>
        <v/>
      </c>
      <c r="E93" s="21" t="str">
        <f>IFERROR(vlookup(B93,SV!$A$1:$C115,3,false),"")</f>
        <v/>
      </c>
      <c r="F93" s="21"/>
      <c r="G93" s="21"/>
      <c r="H93" s="21"/>
      <c r="I93" s="21"/>
      <c r="J93" s="21"/>
      <c r="K93" s="21"/>
      <c r="L93" s="21"/>
      <c r="M93" s="21"/>
      <c r="N93" s="21"/>
      <c r="O93" s="21"/>
      <c r="P93" s="21"/>
      <c r="Q93" s="21"/>
      <c r="R93" s="21"/>
      <c r="S93" s="21"/>
      <c r="T93" s="21"/>
      <c r="U93" s="21"/>
      <c r="V93" s="21"/>
      <c r="W93" s="21"/>
      <c r="X93" s="21"/>
      <c r="Y93" s="21"/>
      <c r="Z93" s="21"/>
    </row>
    <row r="94" ht="15.75" customHeight="1">
      <c r="A94" s="35"/>
      <c r="B94" s="30"/>
      <c r="C94" s="28"/>
      <c r="D94" s="21" t="str">
        <f>IFERROR(vlookup(B94,SV!$A$1:$C115,2,false),"")</f>
        <v/>
      </c>
      <c r="E94" s="21" t="str">
        <f>IFERROR(vlookup(B94,SV!$A$1:$C115,3,false),"")</f>
        <v/>
      </c>
      <c r="F94" s="21"/>
      <c r="G94" s="21"/>
      <c r="H94" s="21"/>
      <c r="I94" s="21"/>
      <c r="J94" s="21"/>
      <c r="K94" s="21"/>
      <c r="L94" s="21"/>
      <c r="M94" s="21"/>
      <c r="N94" s="21"/>
      <c r="O94" s="21"/>
      <c r="P94" s="21"/>
      <c r="Q94" s="21"/>
      <c r="R94" s="21"/>
      <c r="S94" s="21"/>
      <c r="T94" s="21"/>
      <c r="U94" s="21"/>
      <c r="V94" s="21"/>
      <c r="W94" s="21"/>
      <c r="X94" s="21"/>
      <c r="Y94" s="21"/>
      <c r="Z94" s="21"/>
    </row>
    <row r="95" ht="15.75" customHeight="1">
      <c r="A95" s="35"/>
      <c r="B95" s="30"/>
      <c r="C95" s="28"/>
      <c r="D95" s="21" t="str">
        <f>IFERROR(vlookup(B95,SV!$A$1:$C115,2,false),"")</f>
        <v/>
      </c>
      <c r="E95" s="21" t="str">
        <f>IFERROR(vlookup(B95,SV!$A$1:$C115,3,false),"")</f>
        <v/>
      </c>
      <c r="F95" s="21"/>
      <c r="G95" s="21"/>
      <c r="H95" s="21"/>
      <c r="I95" s="21"/>
      <c r="J95" s="21"/>
      <c r="K95" s="21"/>
      <c r="L95" s="21"/>
      <c r="M95" s="21"/>
      <c r="N95" s="21"/>
      <c r="O95" s="21"/>
      <c r="P95" s="21"/>
      <c r="Q95" s="21"/>
      <c r="R95" s="21"/>
      <c r="S95" s="21"/>
      <c r="T95" s="21"/>
      <c r="U95" s="21"/>
      <c r="V95" s="21"/>
      <c r="W95" s="21"/>
      <c r="X95" s="21"/>
      <c r="Y95" s="21"/>
      <c r="Z95" s="21"/>
    </row>
    <row r="96" ht="15.75" customHeight="1">
      <c r="A96" s="35"/>
      <c r="B96" s="30"/>
      <c r="C96" s="28"/>
      <c r="D96" s="21" t="str">
        <f>IFERROR(vlookup(B96,SV!$A$1:$C115,2,false),"")</f>
        <v/>
      </c>
      <c r="E96" s="21" t="str">
        <f>IFERROR(vlookup(B96,SV!$A$1:$C115,3,false),"")</f>
        <v/>
      </c>
      <c r="F96" s="21"/>
      <c r="G96" s="21"/>
      <c r="H96" s="21"/>
      <c r="I96" s="21"/>
      <c r="J96" s="21"/>
      <c r="K96" s="21"/>
      <c r="L96" s="21"/>
      <c r="M96" s="21"/>
      <c r="N96" s="21"/>
      <c r="O96" s="21"/>
      <c r="P96" s="21"/>
      <c r="Q96" s="21"/>
      <c r="R96" s="21"/>
      <c r="S96" s="21"/>
      <c r="T96" s="21"/>
      <c r="U96" s="21"/>
      <c r="V96" s="21"/>
      <c r="W96" s="21"/>
      <c r="X96" s="21"/>
      <c r="Y96" s="21"/>
      <c r="Z96" s="21"/>
    </row>
    <row r="97" ht="15.75" customHeight="1">
      <c r="A97" s="35"/>
      <c r="B97" s="30"/>
      <c r="C97" s="28"/>
      <c r="D97" s="21" t="str">
        <f>IFERROR(vlookup(B97,SV!$A$1:$C115,2,false),"")</f>
        <v/>
      </c>
      <c r="E97" s="21" t="str">
        <f>IFERROR(vlookup(B97,SV!$A$1:$C115,3,false),"")</f>
        <v/>
      </c>
      <c r="F97" s="21"/>
      <c r="G97" s="21"/>
      <c r="H97" s="21"/>
      <c r="I97" s="21"/>
      <c r="J97" s="21"/>
      <c r="K97" s="21"/>
      <c r="L97" s="21"/>
      <c r="M97" s="21"/>
      <c r="N97" s="21"/>
      <c r="O97" s="21"/>
      <c r="P97" s="21"/>
      <c r="Q97" s="21"/>
      <c r="R97" s="21"/>
      <c r="S97" s="21"/>
      <c r="T97" s="21"/>
      <c r="U97" s="21"/>
      <c r="V97" s="21"/>
      <c r="W97" s="21"/>
      <c r="X97" s="21"/>
      <c r="Y97" s="21"/>
      <c r="Z97" s="21"/>
    </row>
    <row r="98" ht="15.75" customHeight="1">
      <c r="A98" s="35"/>
      <c r="B98" s="30"/>
      <c r="C98" s="28"/>
      <c r="D98" s="21" t="str">
        <f>IFERROR(vlookup(B98,SV!$A$1:$C115,2,false),"")</f>
        <v/>
      </c>
      <c r="E98" s="21" t="str">
        <f>IFERROR(vlookup(B98,SV!$A$1:$C115,3,false),"")</f>
        <v/>
      </c>
      <c r="F98" s="21"/>
      <c r="G98" s="21"/>
      <c r="H98" s="21"/>
      <c r="I98" s="21"/>
      <c r="J98" s="21"/>
      <c r="K98" s="21"/>
      <c r="L98" s="21"/>
      <c r="M98" s="21"/>
      <c r="N98" s="21"/>
      <c r="O98" s="21"/>
      <c r="P98" s="21"/>
      <c r="Q98" s="21"/>
      <c r="R98" s="21"/>
      <c r="S98" s="21"/>
      <c r="T98" s="21"/>
      <c r="U98" s="21"/>
      <c r="V98" s="21"/>
      <c r="W98" s="21"/>
      <c r="X98" s="21"/>
      <c r="Y98" s="21"/>
      <c r="Z98" s="21"/>
    </row>
    <row r="99" ht="15.75" customHeight="1">
      <c r="A99" s="36"/>
      <c r="B99" s="37"/>
      <c r="C99" s="38"/>
      <c r="D99" s="21" t="str">
        <f>IFERROR(vlookup(B99,SV!$A$1:$C115,2,false),"")</f>
        <v/>
      </c>
      <c r="E99" s="21" t="str">
        <f>IFERROR(vlookup(B99,SV!$A$1:$C115,3,false),"")</f>
        <v/>
      </c>
      <c r="F99" s="21"/>
      <c r="G99" s="21"/>
      <c r="H99" s="21"/>
      <c r="I99" s="21"/>
      <c r="J99" s="21"/>
      <c r="K99" s="21"/>
      <c r="L99" s="21"/>
      <c r="M99" s="21"/>
      <c r="N99" s="21"/>
      <c r="O99" s="21"/>
      <c r="P99" s="21"/>
      <c r="Q99" s="21"/>
      <c r="R99" s="21"/>
      <c r="S99" s="21"/>
      <c r="T99" s="21"/>
      <c r="U99" s="21"/>
      <c r="V99" s="21"/>
      <c r="W99" s="21"/>
      <c r="X99" s="21"/>
      <c r="Y99" s="21"/>
      <c r="Z99" s="21"/>
    </row>
    <row r="100" ht="15.75" customHeight="1">
      <c r="A100" s="22"/>
      <c r="B100" s="23"/>
      <c r="C100" s="24"/>
      <c r="D100" s="25" t="s">
        <v>9</v>
      </c>
      <c r="E100" s="25" t="s">
        <v>10</v>
      </c>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6" t="s">
        <v>11</v>
      </c>
      <c r="B101" s="27"/>
      <c r="C101" s="28"/>
      <c r="D101" s="29" t="str">
        <f>IFERROR(vlookup(B101,SV!$A$1:$C115,2,false),"")</f>
        <v/>
      </c>
      <c r="E101" s="29" t="str">
        <f>IFERROR(vlookup(B101,SV!$A$1:$C115,3,false),"")</f>
        <v/>
      </c>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6" t="s">
        <v>12</v>
      </c>
      <c r="B102" s="30" t="str">
        <f>IFERROR(__xludf.DUMMYFUNCTION("iferror(IMPORTXML(B101, ""//head/title/text()""),"""")"),"")</f>
        <v/>
      </c>
      <c r="C102" s="28"/>
      <c r="D102" s="21" t="str">
        <f>IFERROR(vlookup(B102,SV!$A$1:$C115,2,false),"")</f>
        <v/>
      </c>
      <c r="E102" s="21" t="str">
        <f>IFERROR(vlookup(B102,SV!$A$1:$C115,3,false),"")</f>
        <v/>
      </c>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31" t="s">
        <v>13</v>
      </c>
      <c r="B103" s="32"/>
      <c r="C103" s="33"/>
      <c r="D103" s="21" t="str">
        <f>IFERROR(vlookup(B103,SV!$A$1:$C115,2,false),"")</f>
        <v/>
      </c>
      <c r="E103" s="21" t="str">
        <f>IFERROR(vlookup(B103,SV!$A$1:$C115,3,false),"")</f>
        <v/>
      </c>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34" t="s">
        <v>14</v>
      </c>
      <c r="B104" s="30"/>
      <c r="C104" s="28"/>
      <c r="D104" s="21" t="str">
        <f>IFERROR(vlookup(B104,SV!$A$1:$C115,2,false),"")</f>
        <v/>
      </c>
      <c r="E104" s="21" t="str">
        <f>IFERROR(vlookup(B104,SV!$A$1:$C115,3,false),"")</f>
        <v/>
      </c>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35"/>
      <c r="B105" s="30"/>
      <c r="C105" s="28"/>
      <c r="D105" s="21" t="str">
        <f>IFERROR(vlookup(B105,SV!$A$1:$C115,2,false),"")</f>
        <v/>
      </c>
      <c r="E105" s="21" t="str">
        <f>IFERROR(vlookup(B105,SV!$A$1:$C115,3,false),"")</f>
        <v/>
      </c>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35"/>
      <c r="B106" s="30"/>
      <c r="C106" s="28"/>
      <c r="D106" s="21" t="str">
        <f>IFERROR(vlookup(B106,SV!$A$1:$C115,2,false),"")</f>
        <v/>
      </c>
      <c r="E106" s="21" t="str">
        <f>IFERROR(vlookup(B106,SV!$A$1:$C115,3,false),"")</f>
        <v/>
      </c>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35"/>
      <c r="B107" s="30"/>
      <c r="C107" s="28"/>
      <c r="D107" s="21" t="str">
        <f>IFERROR(vlookup(B107,SV!$A$1:$C115,2,false),"")</f>
        <v/>
      </c>
      <c r="E107" s="21" t="str">
        <f>IFERROR(vlookup(B107,SV!$A$1:$C115,3,false),"")</f>
        <v/>
      </c>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35"/>
      <c r="B108" s="30"/>
      <c r="C108" s="28"/>
      <c r="D108" s="21" t="str">
        <f>IFERROR(vlookup(B108,SV!$A$1:$C115,2,false),"")</f>
        <v/>
      </c>
      <c r="E108" s="21" t="str">
        <f>IFERROR(vlookup(B108,SV!$A$1:$C115,3,false),"")</f>
        <v/>
      </c>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35"/>
      <c r="B109" s="30"/>
      <c r="C109" s="28"/>
      <c r="D109" s="21" t="str">
        <f>IFERROR(vlookup(B109,SV!$A$1:$C115,2,false),"")</f>
        <v/>
      </c>
      <c r="E109" s="21" t="str">
        <f>IFERROR(vlookup(B109,SV!$A$1:$C115,3,false),"")</f>
        <v/>
      </c>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35"/>
      <c r="B110" s="30"/>
      <c r="C110" s="28"/>
      <c r="D110" s="21" t="str">
        <f>IFERROR(vlookup(B110,SV!$A$1:$C115,2,false),"")</f>
        <v/>
      </c>
      <c r="E110" s="21" t="str">
        <f>IFERROR(vlookup(B110,SV!$A$1:$C115,3,false),"")</f>
        <v/>
      </c>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35"/>
      <c r="B111" s="30"/>
      <c r="C111" s="28"/>
      <c r="D111" s="21" t="str">
        <f>IFERROR(vlookup(B111,SV!$A$1:$C115,2,false),"")</f>
        <v/>
      </c>
      <c r="E111" s="21" t="str">
        <f>IFERROR(vlookup(B111,SV!$A$1:$C115,3,false),"")</f>
        <v/>
      </c>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35"/>
      <c r="B112" s="30"/>
      <c r="C112" s="28"/>
      <c r="D112" s="21" t="str">
        <f>IFERROR(vlookup(B112,SV!$A$1:$C115,2,false),"")</f>
        <v/>
      </c>
      <c r="E112" s="21" t="str">
        <f>IFERROR(vlookup(B112,SV!$A$1:$C115,3,false),"")</f>
        <v/>
      </c>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36"/>
      <c r="B113" s="37"/>
      <c r="C113" s="38"/>
      <c r="D113" s="21" t="str">
        <f>IFERROR(vlookup(B113,SV!$A$1:$C115,2,false),"")</f>
        <v/>
      </c>
      <c r="E113" s="21" t="str">
        <f>IFERROR(vlookup(B113,SV!$A$1:$C115,3,false),"")</f>
        <v/>
      </c>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39"/>
      <c r="B114" s="3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39"/>
      <c r="B115" s="3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90:A99"/>
    <mergeCell ref="A104:A113"/>
    <mergeCell ref="A1:C1"/>
    <mergeCell ref="A6:A15"/>
    <mergeCell ref="A20:A29"/>
    <mergeCell ref="A34:A43"/>
    <mergeCell ref="A48:A57"/>
    <mergeCell ref="A62:A71"/>
    <mergeCell ref="A76:A8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5"/>
    <col customWidth="1" min="2" max="2" width="12.63"/>
    <col customWidth="1" min="3" max="3" width="81.13"/>
    <col customWidth="1" min="4" max="4" width="12.88"/>
    <col customWidth="1" min="5" max="5" width="47.25"/>
    <col customWidth="1" min="6" max="6" width="17.63"/>
    <col customWidth="1" min="7" max="7" width="27.13"/>
  </cols>
  <sheetData>
    <row r="1">
      <c r="A1" s="40"/>
      <c r="B1" s="41"/>
      <c r="C1" s="42" t="s">
        <v>15</v>
      </c>
      <c r="D1" s="43"/>
      <c r="E1" s="44" t="s">
        <v>16</v>
      </c>
      <c r="F1" s="45"/>
      <c r="G1" s="45"/>
      <c r="H1" s="46"/>
      <c r="I1" s="46"/>
      <c r="J1" s="46"/>
      <c r="K1" s="46"/>
      <c r="L1" s="46"/>
      <c r="M1" s="46"/>
      <c r="N1" s="46"/>
      <c r="O1" s="46"/>
      <c r="P1" s="46"/>
      <c r="Q1" s="46"/>
      <c r="R1" s="46"/>
      <c r="S1" s="46"/>
      <c r="T1" s="46"/>
      <c r="U1" s="46"/>
      <c r="V1" s="46"/>
    </row>
    <row r="2">
      <c r="A2" s="47"/>
      <c r="B2" s="48" t="s">
        <v>17</v>
      </c>
      <c r="C2" s="49" t="s">
        <v>18</v>
      </c>
      <c r="D2" s="50" t="s">
        <v>19</v>
      </c>
      <c r="E2" s="51" t="s">
        <v>20</v>
      </c>
      <c r="F2" s="52" t="s">
        <v>21</v>
      </c>
      <c r="G2" s="52" t="s">
        <v>22</v>
      </c>
      <c r="H2" s="53"/>
      <c r="I2" s="53"/>
      <c r="J2" s="53"/>
      <c r="K2" s="53"/>
      <c r="L2" s="53"/>
      <c r="M2" s="53"/>
      <c r="N2" s="53"/>
      <c r="O2" s="53"/>
      <c r="P2" s="53"/>
      <c r="Q2" s="53"/>
      <c r="R2" s="53"/>
      <c r="S2" s="53"/>
      <c r="T2" s="53"/>
      <c r="U2" s="53"/>
      <c r="V2" s="53"/>
    </row>
    <row r="3">
      <c r="A3" s="54" t="s">
        <v>23</v>
      </c>
      <c r="B3" s="55">
        <v>1.0</v>
      </c>
      <c r="C3" s="56" t="s">
        <v>24</v>
      </c>
      <c r="D3" s="57"/>
      <c r="E3" s="58"/>
      <c r="F3" s="46"/>
      <c r="G3" s="46"/>
      <c r="H3" s="46"/>
      <c r="I3" s="46"/>
      <c r="J3" s="46"/>
      <c r="K3" s="46"/>
      <c r="L3" s="46"/>
      <c r="M3" s="46"/>
      <c r="N3" s="46"/>
      <c r="O3" s="46"/>
      <c r="P3" s="46"/>
      <c r="Q3" s="46"/>
      <c r="R3" s="46"/>
      <c r="S3" s="46"/>
      <c r="T3" s="46"/>
      <c r="U3" s="46"/>
      <c r="V3" s="46"/>
    </row>
    <row r="4">
      <c r="B4" s="59">
        <v>1.1</v>
      </c>
      <c r="C4" s="60" t="s">
        <v>25</v>
      </c>
      <c r="D4" s="61" t="s">
        <v>26</v>
      </c>
      <c r="E4" s="62" t="s">
        <v>27</v>
      </c>
      <c r="F4" s="46"/>
      <c r="G4" s="46"/>
      <c r="H4" s="46"/>
      <c r="I4" s="46"/>
      <c r="J4" s="46"/>
      <c r="K4" s="46"/>
      <c r="L4" s="46"/>
      <c r="M4" s="46"/>
      <c r="N4" s="46"/>
      <c r="O4" s="46"/>
      <c r="P4" s="46"/>
      <c r="Q4" s="46"/>
      <c r="R4" s="46"/>
      <c r="S4" s="46"/>
      <c r="T4" s="46"/>
      <c r="U4" s="46"/>
      <c r="V4" s="46"/>
    </row>
    <row r="5">
      <c r="B5" s="59">
        <v>1.2000000000000002</v>
      </c>
      <c r="C5" s="60" t="s">
        <v>28</v>
      </c>
      <c r="D5" s="61" t="s">
        <v>26</v>
      </c>
      <c r="E5" s="62" t="s">
        <v>29</v>
      </c>
      <c r="F5" s="46"/>
      <c r="G5" s="46"/>
      <c r="H5" s="46"/>
      <c r="I5" s="46"/>
      <c r="J5" s="46"/>
      <c r="K5" s="46"/>
      <c r="L5" s="46"/>
      <c r="M5" s="46"/>
      <c r="N5" s="46"/>
      <c r="O5" s="46"/>
      <c r="P5" s="46"/>
      <c r="Q5" s="46"/>
      <c r="R5" s="46"/>
      <c r="S5" s="46"/>
      <c r="T5" s="46"/>
      <c r="U5" s="46"/>
      <c r="V5" s="46"/>
    </row>
    <row r="6">
      <c r="B6" s="59">
        <v>1.3000000000000003</v>
      </c>
      <c r="C6" s="60" t="s">
        <v>30</v>
      </c>
      <c r="D6" s="61" t="s">
        <v>31</v>
      </c>
      <c r="E6" s="62"/>
      <c r="F6" s="46"/>
      <c r="G6" s="46"/>
      <c r="H6" s="46"/>
      <c r="I6" s="46"/>
      <c r="J6" s="46"/>
      <c r="K6" s="46"/>
      <c r="L6" s="46"/>
      <c r="M6" s="46"/>
      <c r="N6" s="46"/>
      <c r="O6" s="46"/>
      <c r="P6" s="46"/>
      <c r="Q6" s="46"/>
      <c r="R6" s="46"/>
      <c r="S6" s="46"/>
      <c r="T6" s="46"/>
      <c r="U6" s="46"/>
      <c r="V6" s="46"/>
    </row>
    <row r="7">
      <c r="B7" s="59">
        <v>1.4000000000000004</v>
      </c>
      <c r="C7" s="60" t="s">
        <v>32</v>
      </c>
      <c r="D7" s="61">
        <v>20.0</v>
      </c>
      <c r="E7" s="63" t="s">
        <v>33</v>
      </c>
      <c r="F7" s="46"/>
      <c r="G7" s="46"/>
      <c r="H7" s="46"/>
      <c r="I7" s="46"/>
      <c r="J7" s="46"/>
      <c r="K7" s="46"/>
      <c r="L7" s="46"/>
      <c r="M7" s="46"/>
      <c r="N7" s="46"/>
      <c r="O7" s="46"/>
      <c r="P7" s="46"/>
      <c r="Q7" s="46"/>
      <c r="R7" s="46"/>
      <c r="S7" s="46"/>
      <c r="T7" s="46"/>
      <c r="U7" s="46"/>
      <c r="V7" s="46"/>
    </row>
    <row r="8">
      <c r="B8" s="59">
        <v>1.5000000000000004</v>
      </c>
      <c r="C8" s="60" t="s">
        <v>34</v>
      </c>
      <c r="D8" s="61">
        <v>334.0</v>
      </c>
      <c r="E8" s="63" t="s">
        <v>35</v>
      </c>
      <c r="F8" s="46"/>
      <c r="G8" s="46"/>
      <c r="H8" s="46"/>
      <c r="I8" s="46"/>
      <c r="J8" s="46"/>
      <c r="K8" s="46"/>
      <c r="L8" s="46"/>
      <c r="M8" s="46"/>
      <c r="N8" s="46"/>
      <c r="O8" s="46"/>
      <c r="P8" s="46"/>
      <c r="Q8" s="46"/>
      <c r="R8" s="46"/>
      <c r="S8" s="46"/>
      <c r="T8" s="46"/>
      <c r="U8" s="46"/>
      <c r="V8" s="46"/>
    </row>
    <row r="9">
      <c r="B9" s="59">
        <v>1.6000000000000005</v>
      </c>
      <c r="C9" s="60" t="s">
        <v>36</v>
      </c>
      <c r="D9" s="61">
        <v>30.0</v>
      </c>
      <c r="E9" s="62" t="s">
        <v>37</v>
      </c>
      <c r="F9" s="46"/>
      <c r="G9" s="46"/>
      <c r="H9" s="46"/>
      <c r="I9" s="46"/>
      <c r="J9" s="46"/>
      <c r="K9" s="46"/>
      <c r="L9" s="46"/>
      <c r="M9" s="46"/>
      <c r="N9" s="46"/>
      <c r="O9" s="46"/>
      <c r="P9" s="46"/>
      <c r="Q9" s="46"/>
      <c r="R9" s="46"/>
      <c r="S9" s="46"/>
      <c r="T9" s="46"/>
      <c r="U9" s="46"/>
      <c r="V9" s="46"/>
    </row>
    <row r="10">
      <c r="B10" s="59">
        <v>1.7000000000000006</v>
      </c>
      <c r="C10" s="60" t="s">
        <v>38</v>
      </c>
      <c r="D10" s="64" t="s">
        <v>39</v>
      </c>
      <c r="E10" s="65" t="s">
        <v>40</v>
      </c>
      <c r="F10" s="46"/>
      <c r="G10" s="46"/>
      <c r="H10" s="46"/>
      <c r="I10" s="46"/>
      <c r="J10" s="46"/>
      <c r="K10" s="46"/>
      <c r="L10" s="46"/>
      <c r="M10" s="46"/>
      <c r="N10" s="46"/>
      <c r="O10" s="46"/>
      <c r="P10" s="46"/>
      <c r="Q10" s="46"/>
      <c r="R10" s="46"/>
      <c r="S10" s="46"/>
      <c r="T10" s="46"/>
      <c r="U10" s="46"/>
      <c r="V10" s="46"/>
    </row>
    <row r="11">
      <c r="B11" s="55">
        <v>2.0</v>
      </c>
      <c r="C11" s="66" t="s">
        <v>41</v>
      </c>
      <c r="D11" s="67"/>
      <c r="E11" s="68"/>
      <c r="F11" s="46"/>
      <c r="G11" s="46"/>
      <c r="H11" s="46"/>
      <c r="I11" s="46"/>
      <c r="J11" s="46"/>
      <c r="K11" s="46"/>
      <c r="L11" s="46"/>
      <c r="M11" s="46"/>
      <c r="N11" s="46"/>
      <c r="O11" s="46"/>
      <c r="P11" s="46"/>
      <c r="Q11" s="46"/>
      <c r="R11" s="46"/>
      <c r="S11" s="46"/>
      <c r="T11" s="46"/>
      <c r="U11" s="46"/>
      <c r="V11" s="46"/>
    </row>
    <row r="12">
      <c r="B12" s="59">
        <v>2.1</v>
      </c>
      <c r="C12" s="69" t="s">
        <v>42</v>
      </c>
      <c r="D12" s="61" t="s">
        <v>26</v>
      </c>
      <c r="E12" s="62"/>
      <c r="F12" s="46"/>
      <c r="G12" s="46"/>
      <c r="H12" s="46"/>
      <c r="I12" s="46"/>
      <c r="J12" s="46"/>
      <c r="K12" s="46"/>
      <c r="L12" s="46"/>
      <c r="M12" s="46"/>
      <c r="N12" s="46"/>
      <c r="O12" s="46"/>
      <c r="P12" s="46"/>
      <c r="Q12" s="46"/>
      <c r="R12" s="46"/>
      <c r="S12" s="46"/>
      <c r="T12" s="46"/>
      <c r="U12" s="46"/>
      <c r="V12" s="46"/>
    </row>
    <row r="13">
      <c r="B13" s="59">
        <v>2.2</v>
      </c>
      <c r="C13" s="70" t="s">
        <v>43</v>
      </c>
      <c r="D13" s="61" t="s">
        <v>26</v>
      </c>
      <c r="E13" s="63" t="s">
        <v>44</v>
      </c>
      <c r="F13" s="46"/>
      <c r="G13" s="46"/>
      <c r="H13" s="46"/>
      <c r="I13" s="46"/>
      <c r="J13" s="46"/>
      <c r="K13" s="46"/>
      <c r="L13" s="46"/>
      <c r="M13" s="46"/>
      <c r="N13" s="46"/>
      <c r="O13" s="46"/>
      <c r="P13" s="46"/>
      <c r="Q13" s="46"/>
      <c r="R13" s="46"/>
      <c r="S13" s="46"/>
      <c r="T13" s="46"/>
      <c r="U13" s="46"/>
      <c r="V13" s="46"/>
    </row>
    <row r="14">
      <c r="B14" s="59">
        <v>2.3000000000000003</v>
      </c>
      <c r="C14" s="70" t="s">
        <v>45</v>
      </c>
      <c r="D14" s="61" t="s">
        <v>26</v>
      </c>
      <c r="E14" s="63" t="s">
        <v>46</v>
      </c>
      <c r="F14" s="46"/>
      <c r="G14" s="46"/>
      <c r="H14" s="46"/>
      <c r="I14" s="46"/>
      <c r="J14" s="46"/>
      <c r="K14" s="46"/>
      <c r="L14" s="46"/>
      <c r="M14" s="46"/>
      <c r="N14" s="46"/>
      <c r="O14" s="46"/>
      <c r="P14" s="46"/>
      <c r="Q14" s="46"/>
      <c r="R14" s="46"/>
      <c r="S14" s="46"/>
      <c r="T14" s="46"/>
      <c r="U14" s="46"/>
      <c r="V14" s="46"/>
    </row>
    <row r="15">
      <c r="B15" s="59">
        <v>2.4000000000000004</v>
      </c>
      <c r="C15" s="70" t="s">
        <v>47</v>
      </c>
      <c r="D15" s="61" t="s">
        <v>26</v>
      </c>
      <c r="E15" s="62"/>
      <c r="F15" s="46"/>
      <c r="G15" s="46"/>
      <c r="H15" s="46"/>
      <c r="I15" s="46"/>
      <c r="J15" s="46"/>
      <c r="K15" s="46"/>
      <c r="L15" s="46"/>
      <c r="M15" s="46"/>
      <c r="N15" s="46"/>
      <c r="O15" s="46"/>
      <c r="P15" s="46"/>
      <c r="Q15" s="46"/>
      <c r="R15" s="46"/>
      <c r="S15" s="46"/>
      <c r="T15" s="46"/>
      <c r="U15" s="46"/>
      <c r="V15" s="46"/>
    </row>
    <row r="16">
      <c r="B16" s="59">
        <v>2.5000000000000004</v>
      </c>
      <c r="C16" s="70" t="s">
        <v>48</v>
      </c>
      <c r="D16" s="61" t="s">
        <v>26</v>
      </c>
      <c r="E16" s="62"/>
      <c r="F16" s="46"/>
      <c r="G16" s="46"/>
      <c r="H16" s="46"/>
      <c r="I16" s="46"/>
      <c r="J16" s="46"/>
      <c r="K16" s="46"/>
      <c r="L16" s="46"/>
      <c r="M16" s="46"/>
      <c r="N16" s="46"/>
      <c r="O16" s="46"/>
      <c r="P16" s="46"/>
      <c r="Q16" s="46"/>
      <c r="R16" s="46"/>
      <c r="S16" s="46"/>
      <c r="T16" s="46"/>
      <c r="U16" s="46"/>
      <c r="V16" s="46"/>
    </row>
    <row r="17">
      <c r="B17" s="59">
        <v>2.6000000000000005</v>
      </c>
      <c r="C17" s="71" t="s">
        <v>49</v>
      </c>
      <c r="D17" s="61" t="s">
        <v>26</v>
      </c>
      <c r="E17" s="62"/>
      <c r="F17" s="46"/>
      <c r="G17" s="46"/>
      <c r="H17" s="46"/>
      <c r="I17" s="46"/>
      <c r="J17" s="46"/>
      <c r="K17" s="46"/>
      <c r="L17" s="46"/>
      <c r="M17" s="46"/>
      <c r="N17" s="46"/>
      <c r="O17" s="46"/>
      <c r="P17" s="46"/>
      <c r="Q17" s="46"/>
      <c r="R17" s="46"/>
      <c r="S17" s="46"/>
      <c r="T17" s="46"/>
      <c r="U17" s="46"/>
      <c r="V17" s="46"/>
    </row>
    <row r="18">
      <c r="B18" s="59">
        <v>2.7000000000000006</v>
      </c>
      <c r="C18" s="60" t="s">
        <v>50</v>
      </c>
      <c r="D18" s="61" t="s">
        <v>39</v>
      </c>
      <c r="E18" s="62"/>
      <c r="F18" s="46"/>
      <c r="G18" s="46"/>
      <c r="H18" s="46"/>
      <c r="I18" s="46"/>
      <c r="J18" s="46"/>
      <c r="K18" s="46"/>
      <c r="L18" s="46"/>
      <c r="M18" s="46"/>
      <c r="N18" s="46"/>
      <c r="O18" s="46"/>
      <c r="P18" s="46"/>
      <c r="Q18" s="46"/>
      <c r="R18" s="46"/>
      <c r="S18" s="46"/>
      <c r="T18" s="46"/>
      <c r="U18" s="46"/>
      <c r="V18" s="46"/>
    </row>
    <row r="19" ht="15.75" customHeight="1">
      <c r="B19" s="55">
        <v>3.0</v>
      </c>
      <c r="C19" s="72" t="s">
        <v>51</v>
      </c>
      <c r="D19" s="67"/>
      <c r="E19" s="68"/>
      <c r="F19" s="46"/>
      <c r="G19" s="46"/>
      <c r="H19" s="46"/>
      <c r="I19" s="46"/>
      <c r="J19" s="46"/>
      <c r="K19" s="46"/>
      <c r="L19" s="46"/>
      <c r="M19" s="46"/>
      <c r="N19" s="46"/>
      <c r="O19" s="46"/>
      <c r="P19" s="46"/>
      <c r="Q19" s="46"/>
      <c r="R19" s="46"/>
      <c r="S19" s="46"/>
      <c r="T19" s="46"/>
      <c r="U19" s="46"/>
      <c r="V19" s="46"/>
    </row>
    <row r="20" ht="15.75" customHeight="1">
      <c r="B20" s="59">
        <v>3.1</v>
      </c>
      <c r="C20" s="60" t="s">
        <v>52</v>
      </c>
      <c r="D20" s="73"/>
      <c r="E20" s="74" t="s">
        <v>53</v>
      </c>
      <c r="F20" s="46"/>
      <c r="G20" s="46"/>
      <c r="H20" s="46"/>
      <c r="I20" s="46"/>
      <c r="J20" s="46"/>
      <c r="K20" s="46"/>
      <c r="L20" s="46"/>
      <c r="M20" s="46"/>
      <c r="N20" s="46"/>
      <c r="O20" s="46"/>
      <c r="P20" s="46"/>
      <c r="Q20" s="46"/>
      <c r="R20" s="46"/>
      <c r="S20" s="46"/>
      <c r="T20" s="46"/>
      <c r="U20" s="46"/>
      <c r="V20" s="46"/>
    </row>
    <row r="21" ht="15.75" customHeight="1">
      <c r="B21" s="59">
        <v>3.2</v>
      </c>
      <c r="C21" s="60" t="s">
        <v>54</v>
      </c>
      <c r="D21" s="73"/>
      <c r="E21" s="74" t="s">
        <v>55</v>
      </c>
      <c r="F21" s="46"/>
      <c r="G21" s="46"/>
      <c r="H21" s="46"/>
      <c r="I21" s="46"/>
      <c r="J21" s="46"/>
      <c r="K21" s="46"/>
      <c r="L21" s="46"/>
      <c r="M21" s="46"/>
      <c r="N21" s="46"/>
      <c r="O21" s="46"/>
      <c r="P21" s="46"/>
      <c r="Q21" s="46"/>
      <c r="R21" s="46"/>
      <c r="S21" s="46"/>
      <c r="T21" s="46"/>
      <c r="U21" s="46"/>
      <c r="V21" s="46"/>
    </row>
    <row r="22" ht="15.75" customHeight="1">
      <c r="B22" s="55">
        <v>4.0</v>
      </c>
      <c r="C22" s="66" t="s">
        <v>56</v>
      </c>
      <c r="D22" s="67"/>
      <c r="E22" s="68"/>
      <c r="F22" s="46"/>
      <c r="G22" s="46"/>
      <c r="H22" s="46"/>
      <c r="I22" s="46"/>
      <c r="J22" s="46"/>
      <c r="K22" s="46"/>
      <c r="L22" s="46"/>
      <c r="M22" s="46"/>
      <c r="N22" s="46"/>
      <c r="O22" s="46"/>
      <c r="P22" s="46"/>
      <c r="Q22" s="46"/>
      <c r="R22" s="46"/>
      <c r="S22" s="46"/>
      <c r="T22" s="46"/>
      <c r="U22" s="46"/>
      <c r="V22" s="46"/>
    </row>
    <row r="23" ht="15.75" customHeight="1">
      <c r="B23" s="59">
        <v>4.1</v>
      </c>
      <c r="C23" s="69" t="s">
        <v>57</v>
      </c>
      <c r="D23" s="61" t="s">
        <v>26</v>
      </c>
      <c r="E23" s="74" t="s">
        <v>58</v>
      </c>
      <c r="F23" s="46"/>
      <c r="G23" s="46"/>
      <c r="H23" s="46"/>
      <c r="I23" s="46"/>
      <c r="J23" s="46"/>
      <c r="K23" s="46"/>
      <c r="L23" s="46"/>
      <c r="M23" s="46"/>
      <c r="N23" s="46"/>
      <c r="O23" s="46"/>
      <c r="P23" s="46"/>
      <c r="Q23" s="46"/>
      <c r="R23" s="46"/>
      <c r="S23" s="46"/>
      <c r="T23" s="46"/>
      <c r="U23" s="46"/>
      <c r="V23" s="46"/>
    </row>
    <row r="24" ht="15.75" customHeight="1">
      <c r="B24" s="59">
        <v>4.199999999999999</v>
      </c>
      <c r="C24" s="69" t="s">
        <v>59</v>
      </c>
      <c r="D24" s="61" t="s">
        <v>26</v>
      </c>
      <c r="E24" s="75" t="s">
        <v>60</v>
      </c>
      <c r="F24" s="46"/>
      <c r="G24" s="46"/>
      <c r="H24" s="46"/>
      <c r="I24" s="46"/>
      <c r="J24" s="46"/>
      <c r="K24" s="46"/>
      <c r="L24" s="46"/>
      <c r="M24" s="46"/>
      <c r="N24" s="46"/>
      <c r="O24" s="46"/>
      <c r="P24" s="46"/>
      <c r="Q24" s="46"/>
      <c r="R24" s="46"/>
      <c r="S24" s="46"/>
      <c r="T24" s="46"/>
      <c r="U24" s="46"/>
      <c r="V24" s="46"/>
    </row>
    <row r="25" ht="15.75" customHeight="1">
      <c r="B25" s="59">
        <v>4.299999999999999</v>
      </c>
      <c r="C25" s="69" t="s">
        <v>61</v>
      </c>
      <c r="D25" s="61" t="s">
        <v>26</v>
      </c>
      <c r="E25" s="76" t="s">
        <v>62</v>
      </c>
      <c r="F25" s="46"/>
      <c r="G25" s="46"/>
      <c r="H25" s="46"/>
      <c r="I25" s="46"/>
      <c r="J25" s="46"/>
      <c r="K25" s="46"/>
      <c r="L25" s="46"/>
      <c r="M25" s="46"/>
      <c r="N25" s="46"/>
      <c r="O25" s="46"/>
      <c r="P25" s="46"/>
      <c r="Q25" s="46"/>
      <c r="R25" s="46"/>
      <c r="S25" s="46"/>
      <c r="T25" s="46"/>
      <c r="U25" s="46"/>
      <c r="V25" s="46"/>
    </row>
    <row r="26" ht="15.75" customHeight="1">
      <c r="B26" s="59">
        <v>4.4</v>
      </c>
      <c r="C26" s="69" t="s">
        <v>63</v>
      </c>
      <c r="D26" s="61" t="s">
        <v>39</v>
      </c>
      <c r="E26" s="62"/>
      <c r="F26" s="77" t="s">
        <v>64</v>
      </c>
      <c r="G26" s="46"/>
      <c r="H26" s="46"/>
      <c r="I26" s="46"/>
      <c r="J26" s="46"/>
      <c r="K26" s="46"/>
      <c r="L26" s="46"/>
      <c r="M26" s="46"/>
      <c r="N26" s="46"/>
      <c r="O26" s="46"/>
      <c r="P26" s="46"/>
      <c r="Q26" s="46"/>
      <c r="R26" s="46"/>
      <c r="S26" s="46"/>
      <c r="T26" s="46"/>
      <c r="U26" s="46"/>
      <c r="V26" s="46"/>
    </row>
    <row r="27" ht="15.75" customHeight="1">
      <c r="B27" s="59">
        <v>4.5</v>
      </c>
      <c r="C27" s="69" t="s">
        <v>65</v>
      </c>
      <c r="D27" s="61" t="s">
        <v>39</v>
      </c>
      <c r="E27" s="62"/>
      <c r="F27" s="77" t="s">
        <v>64</v>
      </c>
      <c r="G27" s="46"/>
      <c r="H27" s="46"/>
      <c r="I27" s="46"/>
      <c r="J27" s="46"/>
      <c r="K27" s="46"/>
      <c r="L27" s="46"/>
      <c r="M27" s="46"/>
      <c r="N27" s="46"/>
      <c r="O27" s="46"/>
      <c r="P27" s="46"/>
      <c r="Q27" s="46"/>
      <c r="R27" s="46"/>
      <c r="S27" s="46"/>
      <c r="T27" s="46"/>
      <c r="U27" s="46"/>
      <c r="V27" s="46"/>
    </row>
    <row r="28" ht="15.75" customHeight="1">
      <c r="B28" s="55">
        <v>5.0</v>
      </c>
      <c r="C28" s="66" t="s">
        <v>66</v>
      </c>
      <c r="D28" s="67"/>
      <c r="E28" s="68"/>
      <c r="F28" s="46"/>
      <c r="G28" s="46"/>
      <c r="H28" s="46"/>
      <c r="I28" s="46"/>
      <c r="J28" s="46"/>
      <c r="K28" s="46"/>
      <c r="L28" s="46"/>
      <c r="M28" s="46"/>
      <c r="N28" s="46"/>
      <c r="O28" s="46"/>
      <c r="P28" s="46"/>
      <c r="Q28" s="46"/>
      <c r="R28" s="46"/>
      <c r="S28" s="46"/>
      <c r="T28" s="46"/>
      <c r="U28" s="46"/>
      <c r="V28" s="46"/>
    </row>
    <row r="29" ht="15.75" customHeight="1">
      <c r="B29" s="59">
        <v>5.1</v>
      </c>
      <c r="C29" s="69" t="s">
        <v>67</v>
      </c>
      <c r="D29" s="78"/>
      <c r="E29" s="62"/>
      <c r="F29" s="46"/>
      <c r="G29" s="46"/>
      <c r="H29" s="46"/>
      <c r="I29" s="46"/>
      <c r="J29" s="46"/>
      <c r="K29" s="46"/>
      <c r="L29" s="46"/>
      <c r="M29" s="46"/>
      <c r="N29" s="46"/>
      <c r="O29" s="46"/>
      <c r="P29" s="46"/>
      <c r="Q29" s="46"/>
      <c r="R29" s="46"/>
      <c r="S29" s="46"/>
      <c r="T29" s="46"/>
      <c r="U29" s="46"/>
      <c r="V29" s="46"/>
    </row>
    <row r="30" ht="15.75" customHeight="1">
      <c r="B30" s="59">
        <v>5.199999999999999</v>
      </c>
      <c r="C30" s="69" t="s">
        <v>68</v>
      </c>
      <c r="D30" s="78"/>
      <c r="E30" s="62"/>
      <c r="F30" s="46"/>
      <c r="G30" s="46"/>
      <c r="H30" s="46"/>
      <c r="I30" s="46"/>
      <c r="J30" s="46"/>
      <c r="K30" s="46"/>
      <c r="L30" s="46"/>
      <c r="M30" s="46"/>
      <c r="N30" s="46"/>
      <c r="O30" s="46"/>
      <c r="P30" s="46"/>
      <c r="Q30" s="46"/>
      <c r="R30" s="46"/>
      <c r="S30" s="46"/>
      <c r="T30" s="46"/>
      <c r="U30" s="46"/>
      <c r="V30" s="46"/>
    </row>
    <row r="31" ht="15.75" customHeight="1">
      <c r="B31" s="59">
        <v>5.299999999999999</v>
      </c>
      <c r="C31" s="69" t="s">
        <v>69</v>
      </c>
      <c r="D31" s="78"/>
      <c r="E31" s="62"/>
      <c r="F31" s="46"/>
      <c r="G31" s="46"/>
      <c r="H31" s="46"/>
      <c r="I31" s="46"/>
      <c r="J31" s="46"/>
      <c r="K31" s="46"/>
      <c r="L31" s="46"/>
      <c r="M31" s="46"/>
      <c r="N31" s="46"/>
      <c r="O31" s="46"/>
      <c r="P31" s="46"/>
      <c r="Q31" s="46"/>
      <c r="R31" s="46"/>
      <c r="S31" s="46"/>
      <c r="T31" s="46"/>
      <c r="U31" s="46"/>
      <c r="V31" s="46"/>
    </row>
    <row r="32" ht="15.75" customHeight="1">
      <c r="B32" s="59">
        <v>5.399999999999999</v>
      </c>
      <c r="C32" s="69" t="s">
        <v>70</v>
      </c>
      <c r="D32" s="78"/>
      <c r="E32" s="62"/>
      <c r="F32" s="46"/>
      <c r="G32" s="46"/>
      <c r="H32" s="46"/>
      <c r="I32" s="46"/>
      <c r="J32" s="46"/>
      <c r="K32" s="46"/>
      <c r="L32" s="46"/>
      <c r="M32" s="46"/>
      <c r="N32" s="46"/>
      <c r="O32" s="46"/>
      <c r="P32" s="46"/>
      <c r="Q32" s="46"/>
      <c r="R32" s="46"/>
      <c r="S32" s="46"/>
      <c r="T32" s="46"/>
      <c r="U32" s="46"/>
      <c r="V32" s="46"/>
    </row>
    <row r="33" ht="15.75" customHeight="1">
      <c r="B33" s="59">
        <v>5.499999999999998</v>
      </c>
      <c r="C33" s="69" t="s">
        <v>71</v>
      </c>
      <c r="D33" s="78"/>
      <c r="E33" s="62"/>
      <c r="F33" s="46"/>
      <c r="G33" s="46"/>
      <c r="H33" s="46"/>
      <c r="I33" s="46"/>
      <c r="J33" s="46"/>
      <c r="K33" s="46"/>
      <c r="L33" s="46"/>
      <c r="M33" s="46"/>
      <c r="N33" s="46"/>
      <c r="O33" s="46"/>
      <c r="P33" s="46"/>
      <c r="Q33" s="46"/>
      <c r="R33" s="46"/>
      <c r="S33" s="46"/>
      <c r="T33" s="46"/>
      <c r="U33" s="46"/>
      <c r="V33" s="46"/>
    </row>
    <row r="34" ht="15.75" customHeight="1">
      <c r="B34" s="59">
        <v>5.599999999999998</v>
      </c>
      <c r="C34" s="69" t="s">
        <v>72</v>
      </c>
      <c r="D34" s="78"/>
      <c r="E34" s="62"/>
      <c r="F34" s="46"/>
      <c r="G34" s="46"/>
      <c r="H34" s="46"/>
      <c r="I34" s="46"/>
      <c r="J34" s="46"/>
      <c r="K34" s="46"/>
      <c r="L34" s="46"/>
      <c r="M34" s="46"/>
      <c r="N34" s="46"/>
      <c r="O34" s="46"/>
      <c r="P34" s="46"/>
      <c r="Q34" s="46"/>
      <c r="R34" s="46"/>
      <c r="S34" s="46"/>
      <c r="T34" s="46"/>
      <c r="U34" s="46"/>
      <c r="V34" s="46"/>
    </row>
    <row r="35" ht="15.75" customHeight="1">
      <c r="B35" s="59">
        <v>5.6999999999999975</v>
      </c>
      <c r="C35" s="69" t="s">
        <v>73</v>
      </c>
      <c r="D35" s="78"/>
      <c r="E35" s="62"/>
      <c r="F35" s="46"/>
      <c r="G35" s="46"/>
      <c r="H35" s="46"/>
      <c r="I35" s="46"/>
      <c r="J35" s="46"/>
      <c r="K35" s="46"/>
      <c r="L35" s="46"/>
      <c r="M35" s="46"/>
      <c r="N35" s="46"/>
      <c r="O35" s="46"/>
      <c r="P35" s="46"/>
      <c r="Q35" s="46"/>
      <c r="R35" s="46"/>
      <c r="S35" s="46"/>
      <c r="T35" s="46"/>
      <c r="U35" s="46"/>
      <c r="V35" s="46"/>
    </row>
    <row r="36" ht="15.75" customHeight="1">
      <c r="B36" s="59">
        <v>5.799999999999997</v>
      </c>
      <c r="C36" s="69" t="s">
        <v>74</v>
      </c>
      <c r="D36" s="78"/>
      <c r="E36" s="62"/>
      <c r="F36" s="46"/>
      <c r="G36" s="46"/>
      <c r="H36" s="46"/>
      <c r="I36" s="46"/>
      <c r="J36" s="46"/>
      <c r="K36" s="46"/>
      <c r="L36" s="46"/>
      <c r="M36" s="46"/>
      <c r="N36" s="46"/>
      <c r="O36" s="46"/>
      <c r="P36" s="46"/>
      <c r="Q36" s="46"/>
      <c r="R36" s="46"/>
      <c r="S36" s="46"/>
      <c r="T36" s="46"/>
      <c r="U36" s="46"/>
      <c r="V36" s="46"/>
    </row>
    <row r="37" ht="15.75" customHeight="1">
      <c r="B37" s="55">
        <v>6.0</v>
      </c>
      <c r="C37" s="79" t="s">
        <v>75</v>
      </c>
      <c r="D37" s="67"/>
      <c r="E37" s="68"/>
      <c r="F37" s="46"/>
      <c r="G37" s="46"/>
      <c r="H37" s="46"/>
      <c r="I37" s="46"/>
      <c r="J37" s="46"/>
      <c r="K37" s="46"/>
      <c r="L37" s="46"/>
      <c r="M37" s="46"/>
      <c r="N37" s="46"/>
      <c r="O37" s="46"/>
      <c r="P37" s="46"/>
      <c r="Q37" s="46"/>
      <c r="R37" s="46"/>
      <c r="S37" s="46"/>
      <c r="T37" s="46"/>
      <c r="U37" s="46"/>
      <c r="V37" s="46"/>
    </row>
    <row r="38" ht="15.75" customHeight="1">
      <c r="B38" s="59">
        <v>6.1</v>
      </c>
      <c r="C38" s="80" t="s">
        <v>76</v>
      </c>
      <c r="D38" s="78"/>
      <c r="E38" s="75" t="s">
        <v>77</v>
      </c>
      <c r="F38" s="46"/>
      <c r="G38" s="46"/>
      <c r="H38" s="46"/>
      <c r="I38" s="46"/>
      <c r="J38" s="46"/>
      <c r="K38" s="46"/>
      <c r="L38" s="46"/>
      <c r="M38" s="46"/>
      <c r="N38" s="46"/>
      <c r="O38" s="46"/>
      <c r="P38" s="46"/>
      <c r="Q38" s="46"/>
      <c r="R38" s="46"/>
      <c r="S38" s="46"/>
      <c r="T38" s="46"/>
      <c r="U38" s="46"/>
      <c r="V38" s="46"/>
    </row>
    <row r="39" ht="15.75" customHeight="1">
      <c r="B39" s="59">
        <v>6.199999999999999</v>
      </c>
      <c r="C39" s="81" t="str">
        <f>HYPERLINK("https://transparencyreport.google.com/safe-browsing/search/", "https://transparencyreport.google.com/safe-browsing/search")</f>
        <v>https://transparencyreport.google.com/safe-browsing/search</v>
      </c>
      <c r="D39" s="78"/>
      <c r="E39" s="74" t="s">
        <v>78</v>
      </c>
      <c r="F39" s="46"/>
      <c r="G39" s="46"/>
      <c r="H39" s="46"/>
      <c r="I39" s="46"/>
      <c r="J39" s="46"/>
      <c r="K39" s="46"/>
      <c r="L39" s="46"/>
      <c r="M39" s="46"/>
      <c r="N39" s="46"/>
      <c r="O39" s="46"/>
      <c r="P39" s="46"/>
      <c r="Q39" s="46"/>
      <c r="R39" s="46"/>
      <c r="S39" s="46"/>
      <c r="T39" s="46"/>
      <c r="U39" s="46"/>
      <c r="V39" s="46"/>
    </row>
    <row r="40" ht="15.75" customHeight="1">
      <c r="B40" s="59">
        <v>6.299999999999999</v>
      </c>
      <c r="C40" s="81" t="str">
        <f>HYPERLINK("https://sitecheck.sucuri.net/results/","https://sitecheck.sucuri.net/results/")</f>
        <v>https://sitecheck.sucuri.net/results/</v>
      </c>
      <c r="D40" s="78"/>
      <c r="E40" s="74" t="s">
        <v>79</v>
      </c>
      <c r="F40" s="46"/>
      <c r="G40" s="46"/>
      <c r="H40" s="46"/>
      <c r="I40" s="46"/>
      <c r="J40" s="46"/>
      <c r="K40" s="46"/>
      <c r="L40" s="46"/>
      <c r="M40" s="46"/>
      <c r="N40" s="46"/>
      <c r="O40" s="46"/>
      <c r="P40" s="46"/>
      <c r="Q40" s="46"/>
      <c r="R40" s="46"/>
      <c r="S40" s="46"/>
      <c r="T40" s="46"/>
      <c r="U40" s="46"/>
      <c r="V40" s="46"/>
    </row>
    <row r="41" ht="15.75" customHeight="1">
      <c r="A41" s="82" t="s">
        <v>80</v>
      </c>
      <c r="B41" s="55">
        <v>7.0</v>
      </c>
      <c r="C41" s="83" t="s">
        <v>81</v>
      </c>
      <c r="D41" s="67"/>
      <c r="E41" s="68"/>
      <c r="F41" s="46"/>
      <c r="G41" s="46"/>
      <c r="H41" s="46"/>
      <c r="I41" s="46"/>
      <c r="J41" s="46"/>
      <c r="K41" s="46"/>
      <c r="L41" s="46"/>
      <c r="M41" s="46"/>
      <c r="N41" s="46"/>
      <c r="O41" s="46"/>
      <c r="P41" s="46"/>
      <c r="Q41" s="46"/>
      <c r="R41" s="46"/>
      <c r="S41" s="46"/>
      <c r="T41" s="46"/>
      <c r="U41" s="46"/>
      <c r="V41" s="46"/>
    </row>
    <row r="42" ht="15.75" customHeight="1">
      <c r="B42" s="59">
        <v>7.1</v>
      </c>
      <c r="C42" s="80" t="s">
        <v>82</v>
      </c>
      <c r="D42" s="61" t="s">
        <v>26</v>
      </c>
      <c r="E42" s="74" t="s">
        <v>83</v>
      </c>
      <c r="F42" s="46"/>
      <c r="G42" s="46"/>
      <c r="H42" s="46"/>
      <c r="I42" s="46"/>
      <c r="J42" s="46"/>
      <c r="K42" s="46"/>
      <c r="L42" s="46"/>
      <c r="M42" s="46"/>
      <c r="N42" s="46"/>
      <c r="O42" s="46"/>
      <c r="P42" s="46"/>
      <c r="Q42" s="46"/>
      <c r="R42" s="46"/>
      <c r="S42" s="46"/>
      <c r="T42" s="46"/>
      <c r="U42" s="46"/>
      <c r="V42" s="46"/>
    </row>
    <row r="43" ht="15.75" customHeight="1">
      <c r="B43" s="59">
        <v>7.199999999999999</v>
      </c>
      <c r="C43" s="80" t="s">
        <v>84</v>
      </c>
      <c r="D43" s="61" t="s">
        <v>26</v>
      </c>
      <c r="E43" s="74" t="s">
        <v>83</v>
      </c>
      <c r="F43" s="46"/>
      <c r="G43" s="46"/>
      <c r="H43" s="46"/>
      <c r="I43" s="46"/>
      <c r="J43" s="46"/>
      <c r="K43" s="46"/>
      <c r="L43" s="46"/>
      <c r="M43" s="46"/>
      <c r="N43" s="46"/>
      <c r="O43" s="46"/>
      <c r="P43" s="46"/>
      <c r="Q43" s="46"/>
      <c r="R43" s="46"/>
      <c r="S43" s="46"/>
      <c r="T43" s="46"/>
      <c r="U43" s="46"/>
      <c r="V43" s="46"/>
    </row>
    <row r="44" ht="15.75" customHeight="1">
      <c r="B44" s="59">
        <v>7.299999999999999</v>
      </c>
      <c r="C44" s="80" t="s">
        <v>85</v>
      </c>
      <c r="D44" s="61" t="s">
        <v>26</v>
      </c>
      <c r="E44" s="74" t="s">
        <v>83</v>
      </c>
      <c r="F44" s="46"/>
      <c r="G44" s="46"/>
      <c r="H44" s="46"/>
      <c r="I44" s="46"/>
      <c r="J44" s="46"/>
      <c r="K44" s="46"/>
      <c r="L44" s="46"/>
      <c r="M44" s="46"/>
      <c r="N44" s="46"/>
      <c r="O44" s="46"/>
      <c r="P44" s="46"/>
      <c r="Q44" s="46"/>
      <c r="R44" s="46"/>
      <c r="S44" s="46"/>
      <c r="T44" s="46"/>
      <c r="U44" s="46"/>
      <c r="V44" s="46"/>
    </row>
    <row r="45" ht="15.75" customHeight="1">
      <c r="B45" s="59">
        <v>7.399999999999999</v>
      </c>
      <c r="C45" s="80" t="s">
        <v>86</v>
      </c>
      <c r="D45" s="61" t="s">
        <v>26</v>
      </c>
      <c r="E45" s="74" t="s">
        <v>83</v>
      </c>
      <c r="F45" s="46"/>
      <c r="G45" s="46"/>
      <c r="H45" s="46"/>
      <c r="I45" s="46"/>
      <c r="J45" s="46"/>
      <c r="K45" s="46"/>
      <c r="L45" s="46"/>
      <c r="M45" s="46"/>
      <c r="N45" s="46"/>
      <c r="O45" s="46"/>
      <c r="P45" s="46"/>
      <c r="Q45" s="46"/>
      <c r="R45" s="46"/>
      <c r="S45" s="46"/>
      <c r="T45" s="46"/>
      <c r="U45" s="46"/>
      <c r="V45" s="46"/>
    </row>
    <row r="46" ht="15.75" customHeight="1">
      <c r="B46" s="59">
        <v>7.499999999999998</v>
      </c>
      <c r="C46" s="80" t="s">
        <v>87</v>
      </c>
      <c r="D46" s="61" t="s">
        <v>26</v>
      </c>
      <c r="E46" s="74" t="s">
        <v>83</v>
      </c>
      <c r="F46" s="46"/>
      <c r="G46" s="46"/>
      <c r="H46" s="46"/>
      <c r="I46" s="46"/>
      <c r="J46" s="46"/>
      <c r="K46" s="46"/>
      <c r="L46" s="46"/>
      <c r="M46" s="46"/>
      <c r="N46" s="46"/>
      <c r="O46" s="46"/>
      <c r="P46" s="46"/>
      <c r="Q46" s="46"/>
      <c r="R46" s="46"/>
      <c r="S46" s="46"/>
      <c r="T46" s="46"/>
      <c r="U46" s="46"/>
      <c r="V46" s="46"/>
    </row>
    <row r="47" ht="15.75" customHeight="1">
      <c r="B47" s="59">
        <v>7.6</v>
      </c>
      <c r="C47" s="80" t="s">
        <v>88</v>
      </c>
      <c r="D47" s="61" t="s">
        <v>26</v>
      </c>
      <c r="E47" s="74" t="s">
        <v>83</v>
      </c>
      <c r="F47" s="46"/>
      <c r="G47" s="46"/>
      <c r="H47" s="46"/>
      <c r="I47" s="46"/>
      <c r="J47" s="46"/>
      <c r="K47" s="46"/>
      <c r="L47" s="46"/>
      <c r="M47" s="46"/>
      <c r="N47" s="46"/>
      <c r="O47" s="46"/>
      <c r="P47" s="46"/>
      <c r="Q47" s="46"/>
      <c r="R47" s="46"/>
      <c r="S47" s="46"/>
      <c r="T47" s="46"/>
      <c r="U47" s="46"/>
      <c r="V47" s="46"/>
    </row>
    <row r="48" ht="15.75" customHeight="1">
      <c r="B48" s="59">
        <v>7.7</v>
      </c>
      <c r="C48" s="84" t="s">
        <v>89</v>
      </c>
      <c r="D48" s="61" t="s">
        <v>26</v>
      </c>
      <c r="E48" s="75"/>
      <c r="F48" s="77" t="s">
        <v>64</v>
      </c>
      <c r="G48" s="46"/>
      <c r="H48" s="46"/>
      <c r="I48" s="46"/>
      <c r="J48" s="46"/>
      <c r="K48" s="46"/>
      <c r="L48" s="46"/>
      <c r="M48" s="46"/>
      <c r="N48" s="46"/>
      <c r="O48" s="46"/>
      <c r="P48" s="46"/>
      <c r="Q48" s="46"/>
      <c r="R48" s="46"/>
      <c r="S48" s="46"/>
      <c r="T48" s="46"/>
      <c r="U48" s="46"/>
      <c r="V48" s="46"/>
    </row>
    <row r="49" ht="15.75" customHeight="1">
      <c r="B49" s="85">
        <v>8.0</v>
      </c>
      <c r="C49" s="86" t="s">
        <v>90</v>
      </c>
      <c r="D49" s="67"/>
      <c r="E49" s="68"/>
      <c r="F49" s="46"/>
      <c r="G49" s="46"/>
      <c r="H49" s="46"/>
      <c r="I49" s="46"/>
      <c r="J49" s="46"/>
      <c r="K49" s="46"/>
      <c r="L49" s="46"/>
      <c r="M49" s="46"/>
      <c r="N49" s="46"/>
      <c r="O49" s="46"/>
      <c r="P49" s="46"/>
      <c r="Q49" s="46"/>
      <c r="R49" s="46"/>
      <c r="S49" s="46"/>
      <c r="T49" s="46"/>
      <c r="U49" s="46"/>
      <c r="V49" s="46"/>
    </row>
    <row r="50" ht="15.75" customHeight="1">
      <c r="B50" s="59">
        <v>8.1</v>
      </c>
      <c r="C50" s="87" t="s">
        <v>91</v>
      </c>
      <c r="D50" s="61" t="s">
        <v>26</v>
      </c>
      <c r="E50" s="76" t="s">
        <v>92</v>
      </c>
      <c r="F50" s="46"/>
      <c r="G50" s="46"/>
      <c r="H50" s="46"/>
      <c r="I50" s="46"/>
      <c r="J50" s="46"/>
      <c r="K50" s="46"/>
      <c r="L50" s="46"/>
      <c r="M50" s="46"/>
      <c r="N50" s="46"/>
      <c r="O50" s="46"/>
      <c r="P50" s="46"/>
      <c r="Q50" s="46"/>
      <c r="R50" s="46"/>
      <c r="S50" s="46"/>
      <c r="T50" s="46"/>
      <c r="U50" s="46"/>
      <c r="V50" s="46"/>
    </row>
    <row r="51" ht="15.75" customHeight="1">
      <c r="B51" s="59">
        <v>8.2</v>
      </c>
      <c r="C51" s="88" t="s">
        <v>93</v>
      </c>
      <c r="D51" s="61" t="s">
        <v>26</v>
      </c>
      <c r="E51" s="76" t="s">
        <v>92</v>
      </c>
      <c r="F51" s="46"/>
      <c r="G51" s="46"/>
      <c r="H51" s="46"/>
      <c r="I51" s="46"/>
      <c r="J51" s="46"/>
      <c r="K51" s="46"/>
      <c r="L51" s="46"/>
      <c r="M51" s="46"/>
      <c r="N51" s="46"/>
      <c r="O51" s="46"/>
      <c r="P51" s="46"/>
      <c r="Q51" s="46"/>
      <c r="R51" s="46"/>
      <c r="S51" s="46"/>
      <c r="T51" s="46"/>
      <c r="U51" s="46"/>
      <c r="V51" s="46"/>
    </row>
    <row r="52" ht="15.75" customHeight="1">
      <c r="B52" s="59">
        <v>8.299999999999999</v>
      </c>
      <c r="C52" s="89" t="s">
        <v>94</v>
      </c>
      <c r="D52" s="61" t="s">
        <v>26</v>
      </c>
      <c r="E52" s="76" t="s">
        <v>92</v>
      </c>
      <c r="F52" s="46"/>
      <c r="G52" s="46"/>
      <c r="H52" s="46"/>
      <c r="I52" s="46"/>
      <c r="J52" s="46"/>
      <c r="K52" s="46"/>
      <c r="L52" s="46"/>
      <c r="M52" s="46"/>
      <c r="N52" s="46"/>
      <c r="O52" s="46"/>
      <c r="P52" s="46"/>
      <c r="Q52" s="46"/>
      <c r="R52" s="46"/>
      <c r="S52" s="46"/>
      <c r="T52" s="46"/>
      <c r="U52" s="46"/>
      <c r="V52" s="46"/>
    </row>
    <row r="53" ht="15.75" customHeight="1">
      <c r="B53" s="59">
        <v>8.399999999999999</v>
      </c>
      <c r="C53" s="89" t="s">
        <v>95</v>
      </c>
      <c r="D53" s="61" t="s">
        <v>26</v>
      </c>
      <c r="E53" s="76" t="s">
        <v>92</v>
      </c>
      <c r="F53" s="46"/>
      <c r="G53" s="46"/>
      <c r="H53" s="46"/>
      <c r="I53" s="46"/>
      <c r="J53" s="46"/>
      <c r="K53" s="46"/>
      <c r="L53" s="46"/>
      <c r="M53" s="46"/>
      <c r="N53" s="46"/>
      <c r="O53" s="46"/>
      <c r="P53" s="46"/>
      <c r="Q53" s="46"/>
      <c r="R53" s="46"/>
      <c r="S53" s="46"/>
      <c r="T53" s="46"/>
      <c r="U53" s="46"/>
      <c r="V53" s="46"/>
    </row>
    <row r="54" ht="15.75" customHeight="1">
      <c r="B54" s="59">
        <v>8.499999999999998</v>
      </c>
      <c r="C54" s="89" t="s">
        <v>96</v>
      </c>
      <c r="D54" s="61" t="s">
        <v>26</v>
      </c>
      <c r="E54" s="76" t="s">
        <v>92</v>
      </c>
      <c r="F54" s="46"/>
      <c r="G54" s="46"/>
      <c r="H54" s="46"/>
      <c r="I54" s="46"/>
      <c r="J54" s="46"/>
      <c r="K54" s="46"/>
      <c r="L54" s="46"/>
      <c r="M54" s="46"/>
      <c r="N54" s="46"/>
      <c r="O54" s="46"/>
      <c r="P54" s="46"/>
      <c r="Q54" s="46"/>
      <c r="R54" s="46"/>
      <c r="S54" s="46"/>
      <c r="T54" s="46"/>
      <c r="U54" s="46"/>
      <c r="V54" s="46"/>
    </row>
    <row r="55" ht="18.75" customHeight="1">
      <c r="B55" s="59">
        <v>8.7</v>
      </c>
      <c r="C55" s="89" t="s">
        <v>97</v>
      </c>
      <c r="D55" s="61" t="s">
        <v>26</v>
      </c>
      <c r="E55" s="76" t="s">
        <v>92</v>
      </c>
      <c r="F55" s="46"/>
      <c r="G55" s="46"/>
      <c r="H55" s="46"/>
      <c r="I55" s="46"/>
      <c r="J55" s="46"/>
      <c r="K55" s="46"/>
      <c r="L55" s="46"/>
      <c r="M55" s="46"/>
      <c r="N55" s="46"/>
      <c r="O55" s="46"/>
      <c r="P55" s="46"/>
      <c r="Q55" s="46"/>
      <c r="R55" s="46"/>
      <c r="S55" s="46"/>
      <c r="T55" s="46"/>
      <c r="U55" s="46"/>
      <c r="V55" s="46"/>
    </row>
    <row r="56" ht="15.75" customHeight="1">
      <c r="B56" s="59">
        <v>8.8</v>
      </c>
      <c r="C56" s="90" t="s">
        <v>98</v>
      </c>
      <c r="D56" s="61" t="s">
        <v>39</v>
      </c>
      <c r="E56" s="62"/>
      <c r="F56" s="46"/>
      <c r="G56" s="46"/>
      <c r="H56" s="46"/>
      <c r="I56" s="46"/>
      <c r="J56" s="46"/>
      <c r="K56" s="46"/>
      <c r="L56" s="46"/>
      <c r="M56" s="46"/>
      <c r="N56" s="46"/>
      <c r="O56" s="46"/>
      <c r="P56" s="46"/>
      <c r="Q56" s="46"/>
      <c r="R56" s="46"/>
      <c r="S56" s="46"/>
      <c r="T56" s="46"/>
      <c r="U56" s="46"/>
      <c r="V56" s="46"/>
    </row>
    <row r="57" ht="15.75" customHeight="1">
      <c r="B57" s="55">
        <v>9.0</v>
      </c>
      <c r="C57" s="91" t="s">
        <v>99</v>
      </c>
      <c r="D57" s="67"/>
      <c r="E57" s="68"/>
      <c r="F57" s="46"/>
      <c r="G57" s="46"/>
      <c r="H57" s="46"/>
      <c r="I57" s="46"/>
      <c r="J57" s="46"/>
      <c r="K57" s="46"/>
      <c r="L57" s="46"/>
      <c r="M57" s="46"/>
      <c r="N57" s="46"/>
      <c r="O57" s="46"/>
      <c r="P57" s="46"/>
      <c r="Q57" s="46"/>
      <c r="R57" s="46"/>
      <c r="S57" s="46"/>
      <c r="T57" s="46"/>
      <c r="U57" s="46"/>
      <c r="V57" s="46"/>
    </row>
    <row r="58" ht="14.25" customHeight="1">
      <c r="B58" s="59">
        <v>9.1</v>
      </c>
      <c r="C58" s="88" t="s">
        <v>100</v>
      </c>
      <c r="D58" s="61" t="s">
        <v>26</v>
      </c>
      <c r="E58" s="74" t="s">
        <v>101</v>
      </c>
      <c r="F58" s="46"/>
      <c r="G58" s="46"/>
      <c r="H58" s="46"/>
      <c r="I58" s="46"/>
      <c r="J58" s="46"/>
      <c r="K58" s="46"/>
      <c r="L58" s="46"/>
      <c r="M58" s="46"/>
      <c r="N58" s="46"/>
      <c r="O58" s="46"/>
      <c r="P58" s="46"/>
      <c r="Q58" s="46"/>
      <c r="R58" s="46"/>
      <c r="S58" s="46"/>
      <c r="T58" s="46"/>
      <c r="U58" s="46"/>
      <c r="V58" s="46"/>
    </row>
    <row r="59" ht="16.5" customHeight="1">
      <c r="B59" s="59">
        <v>9.2</v>
      </c>
      <c r="C59" s="88" t="s">
        <v>102</v>
      </c>
      <c r="D59" s="61" t="s">
        <v>26</v>
      </c>
      <c r="E59" s="74" t="s">
        <v>101</v>
      </c>
      <c r="F59" s="46"/>
      <c r="G59" s="46"/>
      <c r="H59" s="46"/>
      <c r="I59" s="46"/>
      <c r="J59" s="46"/>
      <c r="K59" s="46"/>
      <c r="L59" s="46"/>
      <c r="M59" s="46"/>
      <c r="N59" s="46"/>
      <c r="O59" s="46"/>
      <c r="P59" s="46"/>
      <c r="Q59" s="46"/>
      <c r="R59" s="46"/>
      <c r="S59" s="46"/>
      <c r="T59" s="46"/>
      <c r="U59" s="46"/>
      <c r="V59" s="46"/>
    </row>
    <row r="60" ht="16.5" customHeight="1">
      <c r="B60" s="59">
        <v>9.3</v>
      </c>
      <c r="C60" s="88" t="s">
        <v>103</v>
      </c>
      <c r="D60" s="61" t="s">
        <v>26</v>
      </c>
      <c r="E60" s="74" t="s">
        <v>101</v>
      </c>
      <c r="F60" s="46"/>
      <c r="G60" s="46"/>
      <c r="H60" s="46"/>
      <c r="I60" s="46"/>
      <c r="J60" s="46"/>
      <c r="K60" s="46"/>
      <c r="L60" s="46"/>
      <c r="M60" s="46"/>
      <c r="N60" s="46"/>
      <c r="O60" s="46"/>
      <c r="P60" s="46"/>
      <c r="Q60" s="46"/>
      <c r="R60" s="46"/>
      <c r="S60" s="46"/>
      <c r="T60" s="46"/>
      <c r="U60" s="46"/>
      <c r="V60" s="46"/>
    </row>
    <row r="61" ht="15.75" customHeight="1">
      <c r="B61" s="55">
        <v>10.0</v>
      </c>
      <c r="C61" s="86" t="s">
        <v>104</v>
      </c>
      <c r="D61" s="67"/>
      <c r="E61" s="68"/>
      <c r="F61" s="46"/>
      <c r="G61" s="46"/>
      <c r="H61" s="46"/>
      <c r="I61" s="46"/>
      <c r="J61" s="46"/>
      <c r="K61" s="46"/>
      <c r="L61" s="46"/>
      <c r="M61" s="46"/>
      <c r="N61" s="46"/>
      <c r="O61" s="46"/>
      <c r="P61" s="46"/>
      <c r="Q61" s="46"/>
      <c r="R61" s="46"/>
      <c r="S61" s="46"/>
      <c r="T61" s="46"/>
      <c r="U61" s="46"/>
      <c r="V61" s="46"/>
    </row>
    <row r="62" ht="15.75" customHeight="1">
      <c r="B62" s="59">
        <v>10.1</v>
      </c>
      <c r="C62" s="88" t="s">
        <v>105</v>
      </c>
      <c r="D62" s="61" t="s">
        <v>26</v>
      </c>
      <c r="E62" s="76" t="s">
        <v>106</v>
      </c>
      <c r="F62" s="46"/>
      <c r="G62" s="46"/>
      <c r="H62" s="46"/>
      <c r="I62" s="46"/>
      <c r="J62" s="46"/>
      <c r="K62" s="46"/>
      <c r="L62" s="46"/>
      <c r="M62" s="46"/>
      <c r="N62" s="46"/>
      <c r="O62" s="46"/>
      <c r="P62" s="46"/>
      <c r="Q62" s="46"/>
      <c r="R62" s="46"/>
      <c r="S62" s="46"/>
      <c r="T62" s="46"/>
      <c r="U62" s="46"/>
      <c r="V62" s="46"/>
    </row>
    <row r="63" ht="15.75" customHeight="1">
      <c r="B63" s="59">
        <v>10.2</v>
      </c>
      <c r="C63" s="92" t="s">
        <v>107</v>
      </c>
      <c r="D63" s="61" t="s">
        <v>26</v>
      </c>
      <c r="E63" s="76" t="s">
        <v>106</v>
      </c>
      <c r="F63" s="46"/>
      <c r="G63" s="46"/>
      <c r="H63" s="46"/>
      <c r="I63" s="46"/>
      <c r="J63" s="46"/>
      <c r="K63" s="46"/>
      <c r="L63" s="46"/>
      <c r="M63" s="46"/>
      <c r="N63" s="46"/>
      <c r="O63" s="46"/>
      <c r="P63" s="46"/>
      <c r="Q63" s="46"/>
      <c r="R63" s="46"/>
      <c r="S63" s="46"/>
      <c r="T63" s="46"/>
      <c r="U63" s="46"/>
      <c r="V63" s="46"/>
    </row>
    <row r="64" ht="15.75" customHeight="1">
      <c r="B64" s="59">
        <v>10.299999999999999</v>
      </c>
      <c r="C64" s="88" t="s">
        <v>108</v>
      </c>
      <c r="D64" s="61" t="s">
        <v>26</v>
      </c>
      <c r="E64" s="76" t="s">
        <v>106</v>
      </c>
      <c r="F64" s="46"/>
      <c r="G64" s="46"/>
      <c r="H64" s="46"/>
      <c r="I64" s="46"/>
      <c r="J64" s="46"/>
      <c r="K64" s="46"/>
      <c r="L64" s="46"/>
      <c r="M64" s="46"/>
      <c r="N64" s="46"/>
      <c r="O64" s="46"/>
      <c r="P64" s="46"/>
      <c r="Q64" s="46"/>
      <c r="R64" s="46"/>
      <c r="S64" s="46"/>
      <c r="T64" s="46"/>
      <c r="U64" s="46"/>
      <c r="V64" s="46"/>
    </row>
    <row r="65" ht="15.75" customHeight="1">
      <c r="B65" s="59">
        <v>10.399999999999999</v>
      </c>
      <c r="C65" s="92" t="s">
        <v>109</v>
      </c>
      <c r="D65" s="61" t="s">
        <v>26</v>
      </c>
      <c r="E65" s="76" t="s">
        <v>106</v>
      </c>
      <c r="F65" s="46"/>
      <c r="G65" s="46"/>
      <c r="H65" s="46"/>
      <c r="I65" s="46"/>
      <c r="J65" s="46"/>
      <c r="K65" s="46"/>
      <c r="L65" s="46"/>
      <c r="M65" s="46"/>
      <c r="N65" s="46"/>
      <c r="O65" s="46"/>
      <c r="P65" s="46"/>
      <c r="Q65" s="46"/>
      <c r="R65" s="46"/>
      <c r="S65" s="46"/>
      <c r="T65" s="46"/>
      <c r="U65" s="46"/>
      <c r="V65" s="46"/>
    </row>
    <row r="66" ht="17.25" customHeight="1">
      <c r="B66" s="59">
        <v>10.499999999999998</v>
      </c>
      <c r="C66" s="88" t="s">
        <v>110</v>
      </c>
      <c r="D66" s="61" t="s">
        <v>26</v>
      </c>
      <c r="E66" s="76" t="s">
        <v>106</v>
      </c>
      <c r="F66" s="77"/>
      <c r="G66" s="46"/>
      <c r="H66" s="46"/>
      <c r="I66" s="46"/>
      <c r="J66" s="46"/>
      <c r="K66" s="46"/>
      <c r="L66" s="46"/>
      <c r="M66" s="46"/>
      <c r="N66" s="46"/>
      <c r="O66" s="46"/>
      <c r="P66" s="46"/>
      <c r="Q66" s="46"/>
      <c r="R66" s="46"/>
      <c r="S66" s="46"/>
      <c r="T66" s="46"/>
      <c r="U66" s="46"/>
      <c r="V66" s="46"/>
    </row>
    <row r="67" ht="15.75" customHeight="1">
      <c r="B67" s="59">
        <v>10.599999999999998</v>
      </c>
      <c r="C67" s="88" t="s">
        <v>111</v>
      </c>
      <c r="D67" s="61" t="s">
        <v>26</v>
      </c>
      <c r="E67" s="76" t="s">
        <v>106</v>
      </c>
      <c r="F67" s="46"/>
      <c r="G67" s="46"/>
      <c r="H67" s="46"/>
      <c r="I67" s="46"/>
      <c r="J67" s="46"/>
      <c r="K67" s="46"/>
      <c r="L67" s="46"/>
      <c r="M67" s="46"/>
      <c r="N67" s="46"/>
      <c r="O67" s="46"/>
      <c r="P67" s="46"/>
      <c r="Q67" s="46"/>
      <c r="R67" s="46"/>
      <c r="S67" s="46"/>
      <c r="T67" s="46"/>
      <c r="U67" s="46"/>
      <c r="V67" s="46"/>
    </row>
    <row r="68" ht="15.75" customHeight="1">
      <c r="B68" s="59">
        <v>10.699999999999998</v>
      </c>
      <c r="C68" s="92" t="s">
        <v>112</v>
      </c>
      <c r="D68" s="61" t="s">
        <v>26</v>
      </c>
      <c r="E68" s="76" t="s">
        <v>106</v>
      </c>
      <c r="F68" s="46"/>
      <c r="G68" s="46"/>
      <c r="H68" s="46"/>
      <c r="I68" s="46"/>
      <c r="J68" s="46"/>
      <c r="K68" s="46"/>
      <c r="L68" s="46"/>
      <c r="M68" s="46"/>
      <c r="N68" s="46"/>
      <c r="O68" s="46"/>
      <c r="P68" s="46"/>
      <c r="Q68" s="46"/>
      <c r="R68" s="46"/>
      <c r="S68" s="46"/>
      <c r="T68" s="46"/>
      <c r="U68" s="46"/>
      <c r="V68" s="46"/>
    </row>
    <row r="69" ht="15.75" customHeight="1">
      <c r="B69" s="93">
        <v>33.0</v>
      </c>
      <c r="C69" s="94" t="s">
        <v>113</v>
      </c>
      <c r="D69" s="67"/>
      <c r="E69" s="68"/>
      <c r="F69" s="62"/>
      <c r="G69" s="46"/>
      <c r="H69" s="46"/>
      <c r="I69" s="46"/>
      <c r="J69" s="46"/>
      <c r="K69" s="46"/>
      <c r="L69" s="46"/>
      <c r="M69" s="46"/>
      <c r="N69" s="46"/>
      <c r="O69" s="46"/>
      <c r="P69" s="46"/>
      <c r="Q69" s="46"/>
      <c r="R69" s="46"/>
      <c r="S69" s="46"/>
      <c r="T69" s="46"/>
      <c r="U69" s="46"/>
      <c r="V69" s="46"/>
    </row>
    <row r="70" ht="15.75" customHeight="1">
      <c r="B70" s="95">
        <v>33.1</v>
      </c>
      <c r="C70" s="88" t="s">
        <v>114</v>
      </c>
      <c r="D70" s="61" t="s">
        <v>26</v>
      </c>
      <c r="E70" s="76" t="s">
        <v>115</v>
      </c>
      <c r="F70" s="77" t="s">
        <v>64</v>
      </c>
      <c r="G70" s="96" t="s">
        <v>116</v>
      </c>
      <c r="H70" s="46"/>
      <c r="I70" s="46"/>
      <c r="J70" s="46"/>
      <c r="K70" s="46"/>
      <c r="L70" s="46"/>
      <c r="M70" s="46"/>
      <c r="N70" s="46"/>
      <c r="O70" s="46"/>
      <c r="P70" s="46"/>
      <c r="Q70" s="46"/>
      <c r="R70" s="46"/>
      <c r="S70" s="46"/>
      <c r="T70" s="46"/>
      <c r="U70" s="46"/>
      <c r="V70" s="46"/>
    </row>
    <row r="71" ht="15.75" customHeight="1">
      <c r="B71" s="95">
        <v>33.2</v>
      </c>
      <c r="C71" s="88" t="s">
        <v>117</v>
      </c>
      <c r="D71" s="61" t="s">
        <v>26</v>
      </c>
      <c r="E71" s="76" t="s">
        <v>115</v>
      </c>
      <c r="F71" s="77" t="s">
        <v>64</v>
      </c>
      <c r="G71" s="96" t="s">
        <v>118</v>
      </c>
      <c r="H71" s="46"/>
      <c r="I71" s="46"/>
      <c r="J71" s="46"/>
      <c r="K71" s="46"/>
      <c r="L71" s="46"/>
      <c r="M71" s="46"/>
      <c r="N71" s="46"/>
      <c r="O71" s="46"/>
      <c r="P71" s="46"/>
      <c r="Q71" s="46"/>
      <c r="R71" s="46"/>
      <c r="S71" s="46"/>
      <c r="T71" s="46"/>
      <c r="U71" s="46"/>
      <c r="V71" s="46"/>
    </row>
    <row r="72" ht="15.75" customHeight="1">
      <c r="B72" s="95">
        <v>33.3</v>
      </c>
      <c r="C72" s="88" t="s">
        <v>119</v>
      </c>
      <c r="D72" s="61" t="s">
        <v>26</v>
      </c>
      <c r="E72" s="76" t="s">
        <v>115</v>
      </c>
      <c r="F72" s="77" t="s">
        <v>64</v>
      </c>
      <c r="G72" s="96" t="s">
        <v>120</v>
      </c>
      <c r="H72" s="46"/>
      <c r="I72" s="46"/>
      <c r="J72" s="46"/>
      <c r="K72" s="46"/>
      <c r="L72" s="46"/>
      <c r="M72" s="46"/>
      <c r="N72" s="46"/>
      <c r="O72" s="46"/>
      <c r="P72" s="46"/>
      <c r="Q72" s="46"/>
      <c r="R72" s="46"/>
      <c r="S72" s="46"/>
      <c r="T72" s="46"/>
      <c r="U72" s="46"/>
      <c r="V72" s="46"/>
    </row>
    <row r="73" ht="15.75" customHeight="1">
      <c r="B73" s="95">
        <v>33.4</v>
      </c>
      <c r="C73" s="88" t="s">
        <v>121</v>
      </c>
      <c r="D73" s="61" t="s">
        <v>26</v>
      </c>
      <c r="E73" s="76" t="s">
        <v>115</v>
      </c>
      <c r="F73" s="77" t="s">
        <v>64</v>
      </c>
      <c r="G73" s="96" t="s">
        <v>122</v>
      </c>
      <c r="H73" s="46"/>
      <c r="I73" s="46"/>
      <c r="J73" s="46"/>
      <c r="K73" s="46"/>
      <c r="L73" s="46"/>
      <c r="M73" s="46"/>
      <c r="N73" s="46"/>
      <c r="O73" s="46"/>
      <c r="P73" s="46"/>
      <c r="Q73" s="46"/>
      <c r="R73" s="46"/>
      <c r="S73" s="46"/>
      <c r="T73" s="46"/>
      <c r="U73" s="46"/>
      <c r="V73" s="46"/>
    </row>
    <row r="74" ht="15.75" customHeight="1">
      <c r="B74" s="95">
        <v>33.5</v>
      </c>
      <c r="C74" s="88" t="s">
        <v>123</v>
      </c>
      <c r="D74" s="61" t="s">
        <v>26</v>
      </c>
      <c r="E74" s="76" t="s">
        <v>115</v>
      </c>
      <c r="F74" s="77" t="s">
        <v>64</v>
      </c>
      <c r="G74" s="96" t="s">
        <v>124</v>
      </c>
      <c r="H74" s="46"/>
      <c r="I74" s="46"/>
      <c r="J74" s="46"/>
      <c r="K74" s="46"/>
      <c r="L74" s="46"/>
      <c r="M74" s="46"/>
      <c r="N74" s="46"/>
      <c r="O74" s="46"/>
      <c r="P74" s="46"/>
      <c r="Q74" s="46"/>
      <c r="R74" s="46"/>
      <c r="S74" s="46"/>
      <c r="T74" s="46"/>
      <c r="U74" s="46"/>
      <c r="V74" s="46"/>
    </row>
    <row r="75" ht="15.75" customHeight="1">
      <c r="B75" s="95">
        <v>33.6</v>
      </c>
      <c r="C75" s="88" t="s">
        <v>125</v>
      </c>
      <c r="D75" s="61" t="s">
        <v>26</v>
      </c>
      <c r="E75" s="76" t="s">
        <v>115</v>
      </c>
      <c r="F75" s="77" t="s">
        <v>64</v>
      </c>
      <c r="G75" s="96" t="s">
        <v>126</v>
      </c>
      <c r="H75" s="46"/>
      <c r="I75" s="46"/>
      <c r="J75" s="46"/>
      <c r="K75" s="46"/>
      <c r="L75" s="46"/>
      <c r="M75" s="46"/>
      <c r="N75" s="46"/>
      <c r="O75" s="46"/>
      <c r="P75" s="46"/>
      <c r="Q75" s="46"/>
      <c r="R75" s="46"/>
      <c r="S75" s="46"/>
      <c r="T75" s="46"/>
      <c r="U75" s="46"/>
      <c r="V75" s="46"/>
    </row>
    <row r="76" ht="15.75" customHeight="1">
      <c r="B76" s="95">
        <v>33.7</v>
      </c>
      <c r="C76" s="88" t="s">
        <v>127</v>
      </c>
      <c r="D76" s="61" t="s">
        <v>26</v>
      </c>
      <c r="E76" s="76" t="s">
        <v>115</v>
      </c>
      <c r="F76" s="77" t="s">
        <v>64</v>
      </c>
      <c r="G76" s="96" t="s">
        <v>128</v>
      </c>
      <c r="H76" s="46"/>
      <c r="I76" s="46"/>
      <c r="J76" s="46"/>
      <c r="K76" s="46"/>
      <c r="L76" s="46"/>
      <c r="M76" s="46"/>
      <c r="N76" s="46"/>
      <c r="O76" s="46"/>
      <c r="P76" s="46"/>
      <c r="Q76" s="46"/>
      <c r="R76" s="46"/>
      <c r="S76" s="46"/>
      <c r="T76" s="46"/>
      <c r="U76" s="46"/>
      <c r="V76" s="46"/>
    </row>
    <row r="77" ht="15.75" customHeight="1">
      <c r="B77" s="95">
        <v>33.8</v>
      </c>
      <c r="C77" s="88" t="s">
        <v>129</v>
      </c>
      <c r="D77" s="61" t="s">
        <v>26</v>
      </c>
      <c r="E77" s="76" t="s">
        <v>115</v>
      </c>
      <c r="F77" s="77" t="s">
        <v>64</v>
      </c>
      <c r="G77" s="96" t="s">
        <v>130</v>
      </c>
      <c r="H77" s="46"/>
      <c r="I77" s="46"/>
      <c r="J77" s="46"/>
      <c r="K77" s="46"/>
      <c r="L77" s="46"/>
      <c r="M77" s="46"/>
      <c r="N77" s="46"/>
      <c r="O77" s="46"/>
      <c r="P77" s="46"/>
      <c r="Q77" s="46"/>
      <c r="R77" s="46"/>
      <c r="S77" s="46"/>
      <c r="T77" s="46"/>
      <c r="U77" s="46"/>
      <c r="V77" s="46"/>
    </row>
    <row r="78" ht="15.75" customHeight="1">
      <c r="B78" s="55">
        <v>11.0</v>
      </c>
      <c r="C78" s="86" t="s">
        <v>131</v>
      </c>
      <c r="D78" s="67"/>
      <c r="E78" s="68"/>
      <c r="F78" s="46"/>
      <c r="G78" s="46"/>
      <c r="H78" s="46"/>
      <c r="I78" s="46"/>
      <c r="J78" s="46"/>
      <c r="K78" s="46"/>
      <c r="L78" s="46"/>
      <c r="M78" s="46"/>
      <c r="N78" s="46"/>
      <c r="O78" s="46"/>
      <c r="P78" s="46"/>
      <c r="Q78" s="46"/>
      <c r="R78" s="46"/>
      <c r="S78" s="46"/>
      <c r="T78" s="46"/>
      <c r="U78" s="46"/>
      <c r="V78" s="46"/>
    </row>
    <row r="79" ht="15.75" customHeight="1">
      <c r="B79" s="59">
        <v>11.1</v>
      </c>
      <c r="C79" s="88" t="s">
        <v>132</v>
      </c>
      <c r="D79" s="61" t="s">
        <v>26</v>
      </c>
      <c r="E79" s="76" t="s">
        <v>133</v>
      </c>
      <c r="F79" s="46"/>
      <c r="G79" s="46"/>
      <c r="H79" s="46"/>
      <c r="I79" s="46"/>
      <c r="J79" s="46"/>
      <c r="K79" s="46"/>
      <c r="L79" s="46"/>
      <c r="M79" s="46"/>
      <c r="N79" s="46"/>
      <c r="O79" s="46"/>
      <c r="P79" s="46"/>
      <c r="Q79" s="46"/>
      <c r="R79" s="46"/>
      <c r="S79" s="46"/>
      <c r="T79" s="46"/>
      <c r="U79" s="46"/>
      <c r="V79" s="46"/>
    </row>
    <row r="80" ht="15.75" customHeight="1">
      <c r="B80" s="59">
        <v>11.2</v>
      </c>
      <c r="C80" s="88" t="s">
        <v>134</v>
      </c>
      <c r="D80" s="61" t="s">
        <v>26</v>
      </c>
      <c r="E80" s="76" t="s">
        <v>133</v>
      </c>
      <c r="F80" s="46"/>
      <c r="G80" s="46"/>
      <c r="H80" s="46"/>
      <c r="I80" s="46"/>
      <c r="J80" s="46"/>
      <c r="K80" s="46"/>
      <c r="L80" s="46"/>
      <c r="M80" s="46"/>
      <c r="N80" s="46"/>
      <c r="O80" s="46"/>
      <c r="P80" s="46"/>
      <c r="Q80" s="46"/>
      <c r="R80" s="46"/>
      <c r="S80" s="46"/>
      <c r="T80" s="46"/>
      <c r="U80" s="46"/>
      <c r="V80" s="46"/>
    </row>
    <row r="81" ht="15.75" customHeight="1">
      <c r="B81" s="59">
        <v>11.299999999999999</v>
      </c>
      <c r="C81" s="88" t="s">
        <v>135</v>
      </c>
      <c r="D81" s="61" t="s">
        <v>26</v>
      </c>
      <c r="E81" s="76" t="s">
        <v>133</v>
      </c>
      <c r="F81" s="46"/>
      <c r="G81" s="46"/>
      <c r="H81" s="46"/>
      <c r="I81" s="46"/>
      <c r="J81" s="46"/>
      <c r="K81" s="46"/>
      <c r="L81" s="46"/>
      <c r="M81" s="46"/>
      <c r="N81" s="46"/>
      <c r="O81" s="46"/>
      <c r="P81" s="46"/>
      <c r="Q81" s="46"/>
      <c r="R81" s="46"/>
      <c r="S81" s="46"/>
      <c r="T81" s="46"/>
      <c r="U81" s="46"/>
      <c r="V81" s="46"/>
    </row>
    <row r="82" ht="15.75" customHeight="1">
      <c r="B82" s="59">
        <v>11.399999999999999</v>
      </c>
      <c r="C82" s="88" t="s">
        <v>136</v>
      </c>
      <c r="D82" s="61" t="s">
        <v>26</v>
      </c>
      <c r="E82" s="76" t="s">
        <v>133</v>
      </c>
      <c r="F82" s="46"/>
      <c r="G82" s="46"/>
      <c r="H82" s="46"/>
      <c r="I82" s="46"/>
      <c r="J82" s="46"/>
      <c r="K82" s="46"/>
      <c r="L82" s="46"/>
      <c r="M82" s="46"/>
      <c r="N82" s="46"/>
      <c r="O82" s="46"/>
      <c r="P82" s="46"/>
      <c r="Q82" s="46"/>
      <c r="R82" s="46"/>
      <c r="S82" s="46"/>
      <c r="T82" s="46"/>
      <c r="U82" s="46"/>
      <c r="V82" s="46"/>
    </row>
    <row r="83" ht="15.75" customHeight="1">
      <c r="B83" s="59">
        <v>11.499999999999998</v>
      </c>
      <c r="C83" s="88" t="s">
        <v>137</v>
      </c>
      <c r="D83" s="61" t="s">
        <v>26</v>
      </c>
      <c r="E83" s="76" t="s">
        <v>133</v>
      </c>
      <c r="F83" s="46"/>
      <c r="G83" s="46"/>
      <c r="H83" s="46"/>
      <c r="I83" s="46"/>
      <c r="J83" s="46"/>
      <c r="K83" s="46"/>
      <c r="L83" s="46"/>
      <c r="M83" s="46"/>
      <c r="N83" s="46"/>
      <c r="O83" s="46"/>
      <c r="P83" s="46"/>
      <c r="Q83" s="46"/>
      <c r="R83" s="46"/>
      <c r="S83" s="46"/>
      <c r="T83" s="46"/>
      <c r="U83" s="46"/>
      <c r="V83" s="46"/>
    </row>
    <row r="84" ht="15.75" customHeight="1">
      <c r="B84" s="59">
        <v>11.599999999999998</v>
      </c>
      <c r="C84" s="88" t="s">
        <v>138</v>
      </c>
      <c r="D84" s="61" t="s">
        <v>26</v>
      </c>
      <c r="E84" s="76" t="s">
        <v>133</v>
      </c>
      <c r="F84" s="46"/>
      <c r="G84" s="46"/>
      <c r="H84" s="46"/>
      <c r="I84" s="46"/>
      <c r="J84" s="46"/>
      <c r="K84" s="46"/>
      <c r="L84" s="46"/>
      <c r="M84" s="46"/>
      <c r="N84" s="46"/>
      <c r="O84" s="46"/>
      <c r="P84" s="46"/>
      <c r="Q84" s="46"/>
      <c r="R84" s="46"/>
      <c r="S84" s="46"/>
      <c r="T84" s="46"/>
      <c r="U84" s="46"/>
      <c r="V84" s="46"/>
    </row>
    <row r="85" ht="15.75" customHeight="1">
      <c r="B85" s="59">
        <v>11.699999999999998</v>
      </c>
      <c r="C85" s="92" t="s">
        <v>139</v>
      </c>
      <c r="D85" s="61" t="s">
        <v>26</v>
      </c>
      <c r="E85" s="76" t="s">
        <v>133</v>
      </c>
      <c r="F85" s="46"/>
      <c r="G85" s="46"/>
      <c r="H85" s="46"/>
      <c r="I85" s="46"/>
      <c r="J85" s="46"/>
      <c r="K85" s="46"/>
      <c r="L85" s="46"/>
      <c r="M85" s="46"/>
      <c r="N85" s="46"/>
      <c r="O85" s="46"/>
      <c r="P85" s="46"/>
      <c r="Q85" s="46"/>
      <c r="R85" s="46"/>
      <c r="S85" s="46"/>
      <c r="T85" s="46"/>
      <c r="U85" s="46"/>
      <c r="V85" s="46"/>
    </row>
    <row r="86" ht="15.75" customHeight="1">
      <c r="B86" s="59">
        <v>11.799999999999997</v>
      </c>
      <c r="C86" s="88" t="s">
        <v>140</v>
      </c>
      <c r="D86" s="61" t="s">
        <v>26</v>
      </c>
      <c r="E86" s="76" t="s">
        <v>133</v>
      </c>
      <c r="F86" s="46"/>
      <c r="G86" s="46"/>
      <c r="H86" s="46"/>
      <c r="I86" s="46"/>
      <c r="J86" s="46"/>
      <c r="K86" s="46"/>
      <c r="L86" s="46"/>
      <c r="M86" s="46"/>
      <c r="N86" s="46"/>
      <c r="O86" s="46"/>
      <c r="P86" s="46"/>
      <c r="Q86" s="46"/>
      <c r="R86" s="46"/>
      <c r="S86" s="46"/>
      <c r="T86" s="46"/>
      <c r="U86" s="46"/>
      <c r="V86" s="46"/>
    </row>
    <row r="87" ht="15.75" customHeight="1">
      <c r="B87" s="59">
        <v>11.899999999999997</v>
      </c>
      <c r="C87" s="92" t="s">
        <v>141</v>
      </c>
      <c r="D87" s="61" t="s">
        <v>26</v>
      </c>
      <c r="E87" s="76" t="s">
        <v>133</v>
      </c>
      <c r="F87" s="46"/>
      <c r="G87" s="46"/>
      <c r="H87" s="46"/>
      <c r="I87" s="46"/>
      <c r="J87" s="46"/>
      <c r="K87" s="46"/>
      <c r="L87" s="46"/>
      <c r="M87" s="46"/>
      <c r="N87" s="46"/>
      <c r="O87" s="46"/>
      <c r="P87" s="46"/>
      <c r="Q87" s="46"/>
      <c r="R87" s="46"/>
      <c r="S87" s="46"/>
      <c r="T87" s="46"/>
      <c r="U87" s="46"/>
      <c r="V87" s="46"/>
    </row>
    <row r="88" ht="15.75" customHeight="1">
      <c r="B88" s="55">
        <v>12.0</v>
      </c>
      <c r="C88" s="86" t="s">
        <v>142</v>
      </c>
      <c r="D88" s="67"/>
      <c r="E88" s="68"/>
      <c r="F88" s="46"/>
      <c r="G88" s="46"/>
      <c r="H88" s="46"/>
      <c r="I88" s="46"/>
      <c r="J88" s="46"/>
      <c r="K88" s="46"/>
      <c r="L88" s="46"/>
      <c r="M88" s="46"/>
      <c r="N88" s="46"/>
      <c r="O88" s="46"/>
      <c r="P88" s="46"/>
      <c r="Q88" s="46"/>
      <c r="R88" s="46"/>
      <c r="S88" s="46"/>
      <c r="T88" s="46"/>
      <c r="U88" s="46"/>
      <c r="V88" s="46"/>
    </row>
    <row r="89" ht="15.75" customHeight="1">
      <c r="B89" s="59">
        <v>12.1</v>
      </c>
      <c r="C89" s="88" t="s">
        <v>143</v>
      </c>
      <c r="D89" s="61" t="s">
        <v>26</v>
      </c>
      <c r="E89" s="76" t="s">
        <v>144</v>
      </c>
      <c r="F89" s="46"/>
      <c r="G89" s="46"/>
      <c r="H89" s="46"/>
      <c r="I89" s="46"/>
      <c r="J89" s="46"/>
      <c r="K89" s="46"/>
      <c r="L89" s="46"/>
      <c r="M89" s="46"/>
      <c r="N89" s="46"/>
      <c r="O89" s="46"/>
      <c r="P89" s="46"/>
      <c r="Q89" s="46"/>
      <c r="R89" s="46"/>
      <c r="S89" s="46"/>
      <c r="T89" s="46"/>
      <c r="U89" s="46"/>
      <c r="V89" s="46"/>
    </row>
    <row r="90" ht="15.75" customHeight="1">
      <c r="B90" s="59">
        <v>12.2</v>
      </c>
      <c r="C90" s="92" t="s">
        <v>145</v>
      </c>
      <c r="D90" s="61" t="s">
        <v>26</v>
      </c>
      <c r="E90" s="76" t="s">
        <v>144</v>
      </c>
      <c r="F90" s="46"/>
      <c r="G90" s="46"/>
      <c r="H90" s="46"/>
      <c r="I90" s="46"/>
      <c r="J90" s="46"/>
      <c r="K90" s="46"/>
      <c r="L90" s="46"/>
      <c r="M90" s="46"/>
      <c r="N90" s="46"/>
      <c r="O90" s="46"/>
      <c r="P90" s="46"/>
      <c r="Q90" s="46"/>
      <c r="R90" s="46"/>
      <c r="S90" s="46"/>
      <c r="T90" s="46"/>
      <c r="U90" s="46"/>
      <c r="V90" s="46"/>
    </row>
    <row r="91" ht="17.25" customHeight="1">
      <c r="B91" s="59">
        <v>12.299999999999999</v>
      </c>
      <c r="C91" s="88" t="s">
        <v>146</v>
      </c>
      <c r="D91" s="61" t="s">
        <v>26</v>
      </c>
      <c r="E91" s="76" t="s">
        <v>144</v>
      </c>
      <c r="F91" s="46"/>
      <c r="G91" s="46"/>
      <c r="H91" s="46"/>
      <c r="I91" s="46"/>
      <c r="J91" s="46"/>
      <c r="K91" s="46"/>
      <c r="L91" s="46"/>
      <c r="M91" s="46"/>
      <c r="N91" s="46"/>
      <c r="O91" s="46"/>
      <c r="P91" s="46"/>
      <c r="Q91" s="46"/>
      <c r="R91" s="46"/>
      <c r="S91" s="46"/>
      <c r="T91" s="46"/>
      <c r="U91" s="46"/>
      <c r="V91" s="46"/>
    </row>
    <row r="92" ht="15.75" customHeight="1">
      <c r="B92" s="55">
        <v>13.0</v>
      </c>
      <c r="C92" s="86" t="s">
        <v>147</v>
      </c>
      <c r="D92" s="67"/>
      <c r="E92" s="68"/>
      <c r="F92" s="46"/>
      <c r="G92" s="46"/>
      <c r="H92" s="46"/>
      <c r="I92" s="46"/>
      <c r="J92" s="46"/>
      <c r="K92" s="46"/>
      <c r="L92" s="46"/>
      <c r="M92" s="46"/>
      <c r="N92" s="46"/>
      <c r="O92" s="46"/>
      <c r="P92" s="46"/>
      <c r="Q92" s="46"/>
      <c r="R92" s="46"/>
      <c r="S92" s="46"/>
      <c r="T92" s="46"/>
      <c r="U92" s="46"/>
      <c r="V92" s="46"/>
    </row>
    <row r="93" ht="15.75" customHeight="1">
      <c r="B93" s="59">
        <v>13.1</v>
      </c>
      <c r="C93" s="88" t="s">
        <v>148</v>
      </c>
      <c r="D93" s="61" t="s">
        <v>26</v>
      </c>
      <c r="E93" s="76" t="s">
        <v>149</v>
      </c>
      <c r="F93" s="46"/>
      <c r="G93" s="46"/>
      <c r="H93" s="46"/>
      <c r="I93" s="46"/>
      <c r="J93" s="46"/>
      <c r="K93" s="46"/>
      <c r="L93" s="46"/>
      <c r="M93" s="46"/>
      <c r="N93" s="46"/>
      <c r="O93" s="46"/>
      <c r="P93" s="46"/>
      <c r="Q93" s="46"/>
      <c r="R93" s="46"/>
      <c r="S93" s="46"/>
      <c r="T93" s="46"/>
      <c r="U93" s="46"/>
      <c r="V93" s="46"/>
    </row>
    <row r="94" ht="15.75" customHeight="1">
      <c r="B94" s="59">
        <v>13.2</v>
      </c>
      <c r="C94" s="92" t="s">
        <v>150</v>
      </c>
      <c r="D94" s="61" t="s">
        <v>26</v>
      </c>
      <c r="E94" s="76" t="s">
        <v>149</v>
      </c>
      <c r="F94" s="46"/>
      <c r="G94" s="46"/>
      <c r="H94" s="46"/>
      <c r="I94" s="46"/>
      <c r="J94" s="46"/>
      <c r="K94" s="46"/>
      <c r="L94" s="46"/>
      <c r="M94" s="46"/>
      <c r="N94" s="46"/>
      <c r="O94" s="46"/>
      <c r="P94" s="46"/>
      <c r="Q94" s="46"/>
      <c r="R94" s="46"/>
      <c r="S94" s="46"/>
      <c r="T94" s="46"/>
      <c r="U94" s="46"/>
      <c r="V94" s="46"/>
    </row>
    <row r="95" ht="15.75" customHeight="1">
      <c r="B95" s="59">
        <v>13.299999999999999</v>
      </c>
      <c r="C95" s="88" t="s">
        <v>151</v>
      </c>
      <c r="D95" s="61" t="s">
        <v>26</v>
      </c>
      <c r="E95" s="76" t="s">
        <v>149</v>
      </c>
      <c r="F95" s="46"/>
      <c r="G95" s="46"/>
      <c r="H95" s="46"/>
      <c r="I95" s="46"/>
      <c r="J95" s="46"/>
      <c r="K95" s="46"/>
      <c r="L95" s="46"/>
      <c r="M95" s="46"/>
      <c r="N95" s="46"/>
      <c r="O95" s="46"/>
      <c r="P95" s="46"/>
      <c r="Q95" s="46"/>
      <c r="R95" s="46"/>
      <c r="S95" s="46"/>
      <c r="T95" s="46"/>
      <c r="U95" s="46"/>
      <c r="V95" s="46"/>
    </row>
    <row r="96" ht="15.75" customHeight="1">
      <c r="B96" s="59">
        <v>13.399999999999999</v>
      </c>
      <c r="C96" s="92" t="s">
        <v>152</v>
      </c>
      <c r="D96" s="61" t="s">
        <v>26</v>
      </c>
      <c r="E96" s="76" t="s">
        <v>149</v>
      </c>
      <c r="F96" s="46"/>
      <c r="G96" s="46"/>
      <c r="H96" s="46"/>
      <c r="I96" s="46"/>
      <c r="J96" s="46"/>
      <c r="K96" s="46"/>
      <c r="L96" s="46"/>
      <c r="M96" s="46"/>
      <c r="N96" s="46"/>
      <c r="O96" s="46"/>
      <c r="P96" s="46"/>
      <c r="Q96" s="46"/>
      <c r="R96" s="46"/>
      <c r="S96" s="46"/>
      <c r="T96" s="46"/>
      <c r="U96" s="46"/>
      <c r="V96" s="46"/>
    </row>
    <row r="97" ht="15.75" customHeight="1">
      <c r="B97" s="59">
        <v>13.499999999999998</v>
      </c>
      <c r="C97" s="80" t="s">
        <v>153</v>
      </c>
      <c r="D97" s="61" t="s">
        <v>26</v>
      </c>
      <c r="E97" s="75" t="s">
        <v>154</v>
      </c>
      <c r="F97" s="46"/>
      <c r="G97" s="46"/>
      <c r="H97" s="46"/>
      <c r="I97" s="46"/>
      <c r="J97" s="46"/>
      <c r="K97" s="46"/>
      <c r="L97" s="46"/>
      <c r="M97" s="46"/>
      <c r="N97" s="46"/>
      <c r="O97" s="46"/>
      <c r="P97" s="46"/>
      <c r="Q97" s="46"/>
      <c r="R97" s="46"/>
      <c r="S97" s="46"/>
      <c r="T97" s="46"/>
      <c r="U97" s="46"/>
      <c r="V97" s="46"/>
    </row>
    <row r="98" ht="15.75" customHeight="1">
      <c r="B98" s="59">
        <v>13.599999999999998</v>
      </c>
      <c r="C98" s="80" t="s">
        <v>155</v>
      </c>
      <c r="D98" s="61" t="s">
        <v>26</v>
      </c>
      <c r="E98" s="75" t="s">
        <v>156</v>
      </c>
      <c r="F98" s="46"/>
      <c r="G98" s="46"/>
      <c r="H98" s="46"/>
      <c r="I98" s="46"/>
      <c r="J98" s="46"/>
      <c r="K98" s="46"/>
      <c r="L98" s="46"/>
      <c r="M98" s="46"/>
      <c r="N98" s="46"/>
      <c r="O98" s="46"/>
      <c r="P98" s="46"/>
      <c r="Q98" s="46"/>
      <c r="R98" s="46"/>
      <c r="S98" s="46"/>
      <c r="T98" s="46"/>
      <c r="U98" s="46"/>
      <c r="V98" s="46"/>
    </row>
    <row r="99" ht="15.75" customHeight="1">
      <c r="B99" s="59">
        <v>13.699999999999998</v>
      </c>
      <c r="C99" s="80" t="s">
        <v>157</v>
      </c>
      <c r="D99" s="61" t="s">
        <v>26</v>
      </c>
      <c r="E99" s="76" t="s">
        <v>149</v>
      </c>
      <c r="F99" s="46"/>
      <c r="G99" s="46"/>
      <c r="H99" s="46"/>
      <c r="I99" s="46"/>
      <c r="J99" s="46"/>
      <c r="K99" s="46"/>
      <c r="L99" s="46"/>
      <c r="M99" s="46"/>
      <c r="N99" s="46"/>
      <c r="O99" s="46"/>
      <c r="P99" s="46"/>
      <c r="Q99" s="46"/>
      <c r="R99" s="46"/>
      <c r="S99" s="46"/>
      <c r="T99" s="46"/>
      <c r="U99" s="46"/>
      <c r="V99" s="46"/>
    </row>
    <row r="100" ht="15.75" customHeight="1">
      <c r="B100" s="55">
        <v>14.0</v>
      </c>
      <c r="C100" s="86" t="s">
        <v>158</v>
      </c>
      <c r="D100" s="67"/>
      <c r="E100" s="68"/>
      <c r="F100" s="46"/>
      <c r="G100" s="46"/>
      <c r="H100" s="46"/>
      <c r="I100" s="46"/>
      <c r="J100" s="46"/>
      <c r="K100" s="46"/>
      <c r="L100" s="46"/>
      <c r="M100" s="46"/>
      <c r="N100" s="46"/>
      <c r="O100" s="46"/>
      <c r="P100" s="46"/>
      <c r="Q100" s="46"/>
      <c r="R100" s="46"/>
      <c r="S100" s="46"/>
      <c r="T100" s="46"/>
      <c r="U100" s="46"/>
      <c r="V100" s="46"/>
    </row>
    <row r="101" ht="15.75" customHeight="1">
      <c r="B101" s="59">
        <v>14.1</v>
      </c>
      <c r="C101" s="88" t="s">
        <v>159</v>
      </c>
      <c r="D101" s="61" t="s">
        <v>26</v>
      </c>
      <c r="E101" s="76" t="s">
        <v>160</v>
      </c>
      <c r="F101" s="46"/>
      <c r="G101" s="46"/>
      <c r="H101" s="46"/>
      <c r="I101" s="46"/>
      <c r="J101" s="46"/>
      <c r="K101" s="46"/>
      <c r="L101" s="46"/>
      <c r="M101" s="46"/>
      <c r="N101" s="46"/>
      <c r="O101" s="46"/>
      <c r="P101" s="46"/>
      <c r="Q101" s="46"/>
      <c r="R101" s="46"/>
      <c r="S101" s="46"/>
      <c r="T101" s="46"/>
      <c r="U101" s="46"/>
      <c r="V101" s="46"/>
    </row>
    <row r="102" ht="15.75" customHeight="1">
      <c r="B102" s="59">
        <v>14.2</v>
      </c>
      <c r="C102" s="88" t="s">
        <v>161</v>
      </c>
      <c r="D102" s="61" t="s">
        <v>26</v>
      </c>
      <c r="E102" s="76" t="s">
        <v>160</v>
      </c>
      <c r="F102" s="46"/>
      <c r="G102" s="46"/>
      <c r="H102" s="46"/>
      <c r="I102" s="46"/>
      <c r="J102" s="46"/>
      <c r="K102" s="46"/>
      <c r="L102" s="46"/>
      <c r="M102" s="46"/>
      <c r="N102" s="46"/>
      <c r="O102" s="46"/>
      <c r="P102" s="46"/>
      <c r="Q102" s="46"/>
      <c r="R102" s="46"/>
      <c r="S102" s="46"/>
      <c r="T102" s="46"/>
      <c r="U102" s="46"/>
      <c r="V102" s="46"/>
    </row>
    <row r="103" ht="15.75" customHeight="1">
      <c r="B103" s="59">
        <v>14.3</v>
      </c>
      <c r="C103" s="88" t="s">
        <v>162</v>
      </c>
      <c r="D103" s="61" t="s">
        <v>26</v>
      </c>
      <c r="E103" s="76" t="s">
        <v>160</v>
      </c>
      <c r="F103" s="46"/>
      <c r="G103" s="46"/>
      <c r="H103" s="46"/>
      <c r="I103" s="46"/>
      <c r="J103" s="46"/>
      <c r="K103" s="46"/>
      <c r="L103" s="46"/>
      <c r="M103" s="46"/>
      <c r="N103" s="46"/>
      <c r="O103" s="46"/>
      <c r="P103" s="46"/>
      <c r="Q103" s="46"/>
      <c r="R103" s="46"/>
      <c r="S103" s="46"/>
      <c r="T103" s="46"/>
      <c r="U103" s="46"/>
      <c r="V103" s="46"/>
    </row>
    <row r="104" ht="15.75" customHeight="1">
      <c r="B104" s="59">
        <v>14.4</v>
      </c>
      <c r="C104" s="88" t="s">
        <v>163</v>
      </c>
      <c r="D104" s="61" t="s">
        <v>26</v>
      </c>
      <c r="E104" s="76" t="s">
        <v>160</v>
      </c>
      <c r="F104" s="46"/>
      <c r="G104" s="46"/>
      <c r="H104" s="46"/>
      <c r="I104" s="46"/>
      <c r="J104" s="46"/>
      <c r="K104" s="46"/>
      <c r="L104" s="46"/>
      <c r="M104" s="46"/>
      <c r="N104" s="46"/>
      <c r="O104" s="46"/>
      <c r="P104" s="46"/>
      <c r="Q104" s="46"/>
      <c r="R104" s="46"/>
      <c r="S104" s="46"/>
      <c r="T104" s="46"/>
      <c r="U104" s="46"/>
      <c r="V104" s="46"/>
    </row>
    <row r="105" ht="15.75" customHeight="1">
      <c r="B105" s="59">
        <v>14.5</v>
      </c>
      <c r="C105" s="88" t="s">
        <v>164</v>
      </c>
      <c r="D105" s="61" t="s">
        <v>26</v>
      </c>
      <c r="E105" s="76" t="s">
        <v>160</v>
      </c>
      <c r="F105" s="46"/>
      <c r="G105" s="46"/>
      <c r="H105" s="46"/>
      <c r="I105" s="46"/>
      <c r="J105" s="46"/>
      <c r="K105" s="46"/>
      <c r="L105" s="46"/>
      <c r="M105" s="46"/>
      <c r="N105" s="46"/>
      <c r="O105" s="46"/>
      <c r="P105" s="46"/>
      <c r="Q105" s="46"/>
      <c r="R105" s="46"/>
      <c r="S105" s="46"/>
      <c r="T105" s="46"/>
      <c r="U105" s="46"/>
      <c r="V105" s="46"/>
    </row>
    <row r="106" ht="15.75" customHeight="1">
      <c r="B106" s="59">
        <v>14.6</v>
      </c>
      <c r="C106" s="88" t="s">
        <v>165</v>
      </c>
      <c r="D106" s="61" t="s">
        <v>26</v>
      </c>
      <c r="E106" s="76" t="s">
        <v>160</v>
      </c>
      <c r="F106" s="46"/>
      <c r="G106" s="46"/>
      <c r="H106" s="46"/>
      <c r="I106" s="46"/>
      <c r="J106" s="46"/>
      <c r="K106" s="46"/>
      <c r="L106" s="46"/>
      <c r="M106" s="46"/>
      <c r="N106" s="46"/>
      <c r="O106" s="46"/>
      <c r="P106" s="46"/>
      <c r="Q106" s="46"/>
      <c r="R106" s="46"/>
      <c r="S106" s="46"/>
      <c r="T106" s="46"/>
      <c r="U106" s="46"/>
      <c r="V106" s="46"/>
    </row>
    <row r="107" ht="15.75" customHeight="1">
      <c r="B107" s="55">
        <v>15.0</v>
      </c>
      <c r="C107" s="91" t="s">
        <v>166</v>
      </c>
      <c r="D107" s="67"/>
      <c r="E107" s="68"/>
      <c r="F107" s="46"/>
      <c r="G107" s="46"/>
      <c r="H107" s="46"/>
      <c r="I107" s="46"/>
      <c r="J107" s="46"/>
      <c r="K107" s="46"/>
      <c r="L107" s="46"/>
      <c r="M107" s="46"/>
      <c r="N107" s="46"/>
      <c r="O107" s="46"/>
      <c r="P107" s="46"/>
      <c r="Q107" s="46"/>
      <c r="R107" s="46"/>
      <c r="S107" s="46"/>
      <c r="T107" s="46"/>
      <c r="U107" s="46"/>
      <c r="V107" s="46"/>
    </row>
    <row r="108" ht="15.75" customHeight="1">
      <c r="B108" s="59">
        <v>15.1</v>
      </c>
      <c r="C108" s="70" t="s">
        <v>167</v>
      </c>
      <c r="D108" s="61" t="s">
        <v>26</v>
      </c>
      <c r="E108" s="75"/>
      <c r="F108" s="46"/>
      <c r="G108" s="46"/>
      <c r="H108" s="46"/>
      <c r="I108" s="46"/>
      <c r="J108" s="46"/>
      <c r="K108" s="46"/>
      <c r="L108" s="46"/>
      <c r="M108" s="46"/>
      <c r="N108" s="46"/>
      <c r="O108" s="46"/>
      <c r="P108" s="46"/>
      <c r="Q108" s="46"/>
      <c r="R108" s="46"/>
      <c r="S108" s="46"/>
      <c r="T108" s="46"/>
      <c r="U108" s="46"/>
      <c r="V108" s="46"/>
    </row>
    <row r="109" ht="15.75" customHeight="1">
      <c r="B109" s="59">
        <v>15.2</v>
      </c>
      <c r="C109" s="70" t="s">
        <v>168</v>
      </c>
      <c r="D109" s="61" t="s">
        <v>26</v>
      </c>
      <c r="E109" s="75"/>
      <c r="F109" s="46"/>
      <c r="G109" s="46"/>
      <c r="H109" s="46"/>
      <c r="I109" s="46"/>
      <c r="J109" s="46"/>
      <c r="K109" s="46"/>
      <c r="L109" s="46"/>
      <c r="M109" s="46"/>
      <c r="N109" s="46"/>
      <c r="O109" s="46"/>
      <c r="P109" s="46"/>
      <c r="Q109" s="46"/>
      <c r="R109" s="46"/>
      <c r="S109" s="46"/>
      <c r="T109" s="46"/>
      <c r="U109" s="46"/>
      <c r="V109" s="46"/>
    </row>
    <row r="110" ht="15.75" customHeight="1">
      <c r="B110" s="59">
        <v>15.299999999999999</v>
      </c>
      <c r="C110" s="70" t="s">
        <v>169</v>
      </c>
      <c r="D110" s="61" t="s">
        <v>26</v>
      </c>
      <c r="E110" s="74" t="s">
        <v>170</v>
      </c>
      <c r="F110" s="46"/>
      <c r="G110" s="46"/>
      <c r="H110" s="46"/>
      <c r="I110" s="46"/>
      <c r="J110" s="46"/>
      <c r="K110" s="46"/>
      <c r="L110" s="46"/>
      <c r="M110" s="46"/>
      <c r="N110" s="46"/>
      <c r="O110" s="46"/>
      <c r="P110" s="46"/>
      <c r="Q110" s="46"/>
      <c r="R110" s="46"/>
      <c r="S110" s="46"/>
      <c r="T110" s="46"/>
      <c r="U110" s="46"/>
      <c r="V110" s="46"/>
    </row>
    <row r="111" ht="15.75" customHeight="1">
      <c r="B111" s="55">
        <v>16.0</v>
      </c>
      <c r="C111" s="86" t="s">
        <v>171</v>
      </c>
      <c r="D111" s="67"/>
      <c r="E111" s="68"/>
      <c r="F111" s="46"/>
      <c r="G111" s="46"/>
      <c r="H111" s="46"/>
      <c r="I111" s="46"/>
      <c r="J111" s="46"/>
      <c r="K111" s="46"/>
      <c r="L111" s="46"/>
      <c r="M111" s="46"/>
      <c r="N111" s="46"/>
      <c r="O111" s="46"/>
      <c r="P111" s="46"/>
      <c r="Q111" s="46"/>
      <c r="R111" s="46"/>
      <c r="S111" s="46"/>
      <c r="T111" s="46"/>
      <c r="U111" s="46"/>
      <c r="V111" s="46"/>
    </row>
    <row r="112" ht="15.75" customHeight="1">
      <c r="B112" s="59">
        <v>16.1</v>
      </c>
      <c r="C112" s="90" t="s">
        <v>172</v>
      </c>
      <c r="D112" s="61" t="s">
        <v>39</v>
      </c>
      <c r="E112" s="65" t="s">
        <v>40</v>
      </c>
      <c r="F112" s="46"/>
      <c r="G112" s="46"/>
      <c r="H112" s="46"/>
      <c r="I112" s="46"/>
      <c r="J112" s="46"/>
      <c r="K112" s="46"/>
      <c r="L112" s="46"/>
      <c r="M112" s="46"/>
      <c r="N112" s="46"/>
      <c r="O112" s="46"/>
      <c r="P112" s="46"/>
      <c r="Q112" s="46"/>
      <c r="R112" s="46"/>
      <c r="S112" s="46"/>
      <c r="T112" s="46"/>
      <c r="U112" s="46"/>
      <c r="V112" s="46"/>
    </row>
    <row r="113" ht="15.75" customHeight="1">
      <c r="B113" s="59">
        <v>16.200000000000003</v>
      </c>
      <c r="C113" s="90" t="s">
        <v>173</v>
      </c>
      <c r="D113" s="61" t="s">
        <v>39</v>
      </c>
      <c r="E113" s="65" t="s">
        <v>40</v>
      </c>
      <c r="F113" s="46"/>
      <c r="G113" s="46"/>
      <c r="H113" s="46"/>
      <c r="I113" s="46"/>
      <c r="J113" s="46"/>
      <c r="K113" s="46"/>
      <c r="L113" s="46"/>
      <c r="M113" s="46"/>
      <c r="N113" s="46"/>
      <c r="O113" s="46"/>
      <c r="P113" s="46"/>
      <c r="Q113" s="46"/>
      <c r="R113" s="46"/>
      <c r="S113" s="46"/>
      <c r="T113" s="46"/>
      <c r="U113" s="46"/>
      <c r="V113" s="46"/>
    </row>
    <row r="114" ht="17.25" customHeight="1">
      <c r="B114" s="59">
        <v>16.300000000000004</v>
      </c>
      <c r="C114" s="90" t="s">
        <v>174</v>
      </c>
      <c r="D114" s="61" t="s">
        <v>39</v>
      </c>
      <c r="E114" s="65" t="s">
        <v>40</v>
      </c>
      <c r="F114" s="46"/>
      <c r="G114" s="46"/>
      <c r="H114" s="46"/>
      <c r="I114" s="46"/>
      <c r="J114" s="46"/>
      <c r="K114" s="46"/>
      <c r="L114" s="46"/>
      <c r="M114" s="46"/>
      <c r="N114" s="46"/>
      <c r="O114" s="46"/>
      <c r="P114" s="46"/>
      <c r="Q114" s="46"/>
      <c r="R114" s="46"/>
      <c r="S114" s="46"/>
      <c r="T114" s="46"/>
      <c r="U114" s="46"/>
      <c r="V114" s="46"/>
    </row>
    <row r="115" ht="15.75" customHeight="1">
      <c r="A115" s="97" t="s">
        <v>175</v>
      </c>
      <c r="B115" s="55">
        <v>17.0</v>
      </c>
      <c r="C115" s="86" t="s">
        <v>176</v>
      </c>
      <c r="D115" s="67"/>
      <c r="E115" s="68"/>
      <c r="F115" s="46"/>
      <c r="G115" s="46"/>
      <c r="H115" s="46"/>
      <c r="I115" s="46"/>
      <c r="J115" s="46"/>
      <c r="K115" s="46"/>
      <c r="L115" s="46"/>
      <c r="M115" s="46"/>
      <c r="N115" s="46"/>
      <c r="O115" s="46"/>
      <c r="P115" s="46"/>
      <c r="Q115" s="46"/>
      <c r="R115" s="46"/>
      <c r="S115" s="46"/>
      <c r="T115" s="46"/>
      <c r="U115" s="46"/>
      <c r="V115" s="46"/>
    </row>
    <row r="116" ht="15.75" customHeight="1">
      <c r="B116" s="59">
        <v>17.1</v>
      </c>
      <c r="C116" s="88" t="s">
        <v>177</v>
      </c>
      <c r="D116" s="61" t="s">
        <v>26</v>
      </c>
      <c r="E116" s="76" t="s">
        <v>178</v>
      </c>
      <c r="F116" s="46"/>
      <c r="G116" s="46"/>
      <c r="H116" s="46"/>
      <c r="I116" s="46"/>
      <c r="J116" s="46"/>
      <c r="K116" s="46"/>
      <c r="L116" s="46"/>
      <c r="M116" s="46"/>
      <c r="N116" s="46"/>
      <c r="O116" s="46"/>
      <c r="P116" s="46"/>
      <c r="Q116" s="46"/>
      <c r="R116" s="46"/>
      <c r="S116" s="46"/>
      <c r="T116" s="46"/>
      <c r="U116" s="46"/>
      <c r="V116" s="46"/>
    </row>
    <row r="117" ht="15.75" customHeight="1">
      <c r="B117" s="59">
        <v>17.200000000000003</v>
      </c>
      <c r="C117" s="92" t="s">
        <v>179</v>
      </c>
      <c r="D117" s="61" t="s">
        <v>26</v>
      </c>
      <c r="E117" s="76" t="s">
        <v>180</v>
      </c>
      <c r="F117" s="46"/>
      <c r="G117" s="46"/>
      <c r="H117" s="46"/>
      <c r="I117" s="46"/>
      <c r="J117" s="46"/>
      <c r="K117" s="46"/>
      <c r="L117" s="46"/>
      <c r="M117" s="46"/>
      <c r="N117" s="46"/>
      <c r="O117" s="46"/>
      <c r="P117" s="46"/>
      <c r="Q117" s="46"/>
      <c r="R117" s="46"/>
      <c r="S117" s="46"/>
      <c r="T117" s="46"/>
      <c r="U117" s="46"/>
      <c r="V117" s="46"/>
    </row>
    <row r="118" ht="15.75" customHeight="1">
      <c r="B118" s="59">
        <v>17.300000000000004</v>
      </c>
      <c r="C118" s="88" t="s">
        <v>181</v>
      </c>
      <c r="D118" s="61" t="s">
        <v>26</v>
      </c>
      <c r="E118" s="76" t="s">
        <v>182</v>
      </c>
      <c r="F118" s="46"/>
      <c r="G118" s="46"/>
      <c r="H118" s="46"/>
      <c r="I118" s="46"/>
      <c r="J118" s="46"/>
      <c r="K118" s="46"/>
      <c r="L118" s="46"/>
      <c r="M118" s="46"/>
      <c r="N118" s="46"/>
      <c r="O118" s="46"/>
      <c r="P118" s="46"/>
      <c r="Q118" s="46"/>
      <c r="R118" s="46"/>
      <c r="S118" s="46"/>
      <c r="T118" s="46"/>
      <c r="U118" s="46"/>
      <c r="V118" s="46"/>
    </row>
    <row r="119" ht="15.75" customHeight="1">
      <c r="B119" s="59">
        <v>17.400000000000006</v>
      </c>
      <c r="C119" s="92" t="s">
        <v>183</v>
      </c>
      <c r="D119" s="61" t="s">
        <v>26</v>
      </c>
      <c r="E119" s="76" t="s">
        <v>184</v>
      </c>
      <c r="F119" s="46"/>
      <c r="G119" s="46"/>
      <c r="H119" s="46"/>
      <c r="I119" s="46"/>
      <c r="J119" s="46"/>
      <c r="K119" s="46"/>
      <c r="L119" s="46"/>
      <c r="M119" s="46"/>
      <c r="N119" s="46"/>
      <c r="O119" s="46"/>
      <c r="P119" s="46"/>
      <c r="Q119" s="46"/>
      <c r="R119" s="46"/>
      <c r="S119" s="46"/>
      <c r="T119" s="46"/>
      <c r="U119" s="46"/>
      <c r="V119" s="46"/>
    </row>
    <row r="120" ht="15.75" customHeight="1">
      <c r="B120" s="55">
        <v>18.0</v>
      </c>
      <c r="C120" s="86" t="s">
        <v>185</v>
      </c>
      <c r="D120" s="67"/>
      <c r="E120" s="68"/>
      <c r="F120" s="46"/>
      <c r="G120" s="46"/>
      <c r="H120" s="46"/>
      <c r="I120" s="46"/>
      <c r="J120" s="46"/>
      <c r="K120" s="46"/>
      <c r="L120" s="46"/>
      <c r="M120" s="46"/>
      <c r="N120" s="46"/>
      <c r="O120" s="46"/>
      <c r="P120" s="46"/>
      <c r="Q120" s="46"/>
      <c r="R120" s="46"/>
      <c r="S120" s="46"/>
      <c r="T120" s="46"/>
      <c r="U120" s="46"/>
      <c r="V120" s="46"/>
    </row>
    <row r="121" ht="15.75" customHeight="1">
      <c r="B121" s="59">
        <v>18.1</v>
      </c>
      <c r="C121" s="88" t="s">
        <v>186</v>
      </c>
      <c r="D121" s="61" t="s">
        <v>26</v>
      </c>
      <c r="E121" s="98" t="s">
        <v>187</v>
      </c>
      <c r="F121" s="46"/>
      <c r="G121" s="46"/>
      <c r="H121" s="46"/>
      <c r="I121" s="46"/>
      <c r="J121" s="46"/>
      <c r="K121" s="46"/>
      <c r="L121" s="46"/>
      <c r="M121" s="46"/>
      <c r="N121" s="46"/>
      <c r="O121" s="46"/>
      <c r="P121" s="46"/>
      <c r="Q121" s="46"/>
      <c r="R121" s="46"/>
      <c r="S121" s="46"/>
      <c r="T121" s="46"/>
      <c r="U121" s="46"/>
      <c r="V121" s="46"/>
    </row>
    <row r="122" ht="15.75" customHeight="1">
      <c r="B122" s="59">
        <v>18.200000000000003</v>
      </c>
      <c r="C122" s="92" t="s">
        <v>188</v>
      </c>
      <c r="D122" s="61" t="s">
        <v>26</v>
      </c>
      <c r="E122" s="98" t="s">
        <v>189</v>
      </c>
      <c r="F122" s="46"/>
      <c r="G122" s="46"/>
      <c r="H122" s="46"/>
      <c r="I122" s="46"/>
      <c r="J122" s="46"/>
      <c r="K122" s="46"/>
      <c r="L122" s="46"/>
      <c r="M122" s="46"/>
      <c r="N122" s="46"/>
      <c r="O122" s="46"/>
      <c r="P122" s="46"/>
      <c r="Q122" s="46"/>
      <c r="R122" s="46"/>
      <c r="S122" s="46"/>
      <c r="T122" s="46"/>
      <c r="U122" s="46"/>
      <c r="V122" s="46"/>
    </row>
    <row r="123" ht="15.75" customHeight="1">
      <c r="B123" s="59">
        <v>18.300000000000004</v>
      </c>
      <c r="C123" s="88" t="s">
        <v>190</v>
      </c>
      <c r="D123" s="61" t="s">
        <v>26</v>
      </c>
      <c r="E123" s="98" t="s">
        <v>191</v>
      </c>
      <c r="F123" s="46"/>
      <c r="G123" s="46"/>
      <c r="H123" s="46"/>
      <c r="I123" s="46"/>
      <c r="J123" s="46"/>
      <c r="K123" s="46"/>
      <c r="L123" s="46"/>
      <c r="M123" s="46"/>
      <c r="N123" s="46"/>
      <c r="O123" s="46"/>
      <c r="P123" s="46"/>
      <c r="Q123" s="46"/>
      <c r="R123" s="46"/>
      <c r="S123" s="46"/>
      <c r="T123" s="46"/>
      <c r="U123" s="46"/>
      <c r="V123" s="46"/>
    </row>
    <row r="124" ht="15.75" customHeight="1">
      <c r="B124" s="55">
        <v>19.0</v>
      </c>
      <c r="C124" s="86" t="s">
        <v>192</v>
      </c>
      <c r="D124" s="67"/>
      <c r="E124" s="68"/>
      <c r="F124" s="46"/>
      <c r="G124" s="46"/>
      <c r="H124" s="46"/>
      <c r="I124" s="46"/>
      <c r="J124" s="46"/>
      <c r="K124" s="46"/>
      <c r="L124" s="46"/>
      <c r="M124" s="46"/>
      <c r="N124" s="46"/>
      <c r="O124" s="46"/>
      <c r="P124" s="46"/>
      <c r="Q124" s="46"/>
      <c r="R124" s="46"/>
      <c r="S124" s="46"/>
      <c r="T124" s="46"/>
      <c r="U124" s="46"/>
      <c r="V124" s="46"/>
    </row>
    <row r="125" ht="15.75" customHeight="1">
      <c r="B125" s="59">
        <v>19.1</v>
      </c>
      <c r="C125" s="88" t="s">
        <v>193</v>
      </c>
      <c r="D125" s="61" t="s">
        <v>26</v>
      </c>
      <c r="E125" s="98" t="s">
        <v>194</v>
      </c>
      <c r="F125" s="46"/>
      <c r="G125" s="46"/>
      <c r="H125" s="46"/>
      <c r="I125" s="46"/>
      <c r="J125" s="46"/>
      <c r="K125" s="46"/>
      <c r="L125" s="46"/>
      <c r="M125" s="46"/>
      <c r="N125" s="46"/>
      <c r="O125" s="46"/>
      <c r="P125" s="46"/>
      <c r="Q125" s="46"/>
      <c r="R125" s="46"/>
      <c r="S125" s="46"/>
      <c r="T125" s="46"/>
      <c r="U125" s="46"/>
      <c r="V125" s="46"/>
    </row>
    <row r="126" ht="15.75" customHeight="1">
      <c r="B126" s="59">
        <v>19.200000000000003</v>
      </c>
      <c r="C126" s="88" t="s">
        <v>195</v>
      </c>
      <c r="D126" s="61" t="s">
        <v>26</v>
      </c>
      <c r="E126" s="98" t="s">
        <v>196</v>
      </c>
      <c r="F126" s="46"/>
      <c r="G126" s="46"/>
      <c r="H126" s="46"/>
      <c r="I126" s="46"/>
      <c r="J126" s="46"/>
      <c r="K126" s="46"/>
      <c r="L126" s="46"/>
      <c r="M126" s="46"/>
      <c r="N126" s="46"/>
      <c r="O126" s="46"/>
      <c r="P126" s="46"/>
      <c r="Q126" s="46"/>
      <c r="R126" s="46"/>
      <c r="S126" s="46"/>
      <c r="T126" s="46"/>
      <c r="U126" s="46"/>
      <c r="V126" s="46"/>
    </row>
    <row r="127" ht="15.75" customHeight="1">
      <c r="B127" s="59">
        <v>19.300000000000004</v>
      </c>
      <c r="C127" s="88" t="s">
        <v>197</v>
      </c>
      <c r="D127" s="61" t="s">
        <v>26</v>
      </c>
      <c r="E127" s="98" t="s">
        <v>198</v>
      </c>
      <c r="F127" s="46"/>
      <c r="G127" s="46"/>
      <c r="H127" s="46"/>
      <c r="I127" s="46"/>
      <c r="J127" s="46"/>
      <c r="K127" s="46"/>
      <c r="L127" s="46"/>
      <c r="M127" s="46"/>
      <c r="N127" s="46"/>
      <c r="O127" s="46"/>
      <c r="P127" s="46"/>
      <c r="Q127" s="46"/>
      <c r="R127" s="46"/>
      <c r="S127" s="46"/>
      <c r="T127" s="46"/>
      <c r="U127" s="46"/>
      <c r="V127" s="46"/>
    </row>
    <row r="128" ht="15.75" customHeight="1">
      <c r="B128" s="55">
        <v>20.0</v>
      </c>
      <c r="C128" s="86" t="s">
        <v>199</v>
      </c>
      <c r="D128" s="67"/>
      <c r="E128" s="68"/>
      <c r="F128" s="46"/>
      <c r="G128" s="46"/>
      <c r="H128" s="46"/>
      <c r="I128" s="46"/>
      <c r="J128" s="46"/>
      <c r="K128" s="46"/>
      <c r="L128" s="46"/>
      <c r="M128" s="46"/>
      <c r="N128" s="46"/>
      <c r="O128" s="46"/>
      <c r="P128" s="46"/>
      <c r="Q128" s="46"/>
      <c r="R128" s="46"/>
      <c r="S128" s="46"/>
      <c r="T128" s="46"/>
      <c r="U128" s="46"/>
      <c r="V128" s="46"/>
    </row>
    <row r="129" ht="15.75" customHeight="1">
      <c r="B129" s="59">
        <v>20.1</v>
      </c>
      <c r="C129" s="88" t="s">
        <v>200</v>
      </c>
      <c r="D129" s="61" t="s">
        <v>26</v>
      </c>
      <c r="E129" s="76" t="s">
        <v>201</v>
      </c>
      <c r="F129" s="46"/>
      <c r="H129" s="46"/>
      <c r="I129" s="46"/>
      <c r="J129" s="46"/>
      <c r="K129" s="46"/>
      <c r="L129" s="46"/>
      <c r="M129" s="46"/>
      <c r="N129" s="46"/>
      <c r="O129" s="46"/>
      <c r="P129" s="46"/>
      <c r="Q129" s="46"/>
      <c r="R129" s="46"/>
      <c r="S129" s="46"/>
      <c r="T129" s="46"/>
      <c r="U129" s="46"/>
      <c r="V129" s="46"/>
    </row>
    <row r="130" ht="15.75" customHeight="1">
      <c r="B130" s="59">
        <v>20.200000000000003</v>
      </c>
      <c r="C130" s="70" t="s">
        <v>202</v>
      </c>
      <c r="D130" s="61" t="s">
        <v>26</v>
      </c>
      <c r="E130" s="76" t="s">
        <v>203</v>
      </c>
      <c r="F130" s="46"/>
      <c r="H130" s="46"/>
      <c r="I130" s="46"/>
      <c r="J130" s="46"/>
      <c r="K130" s="46"/>
      <c r="L130" s="46"/>
      <c r="M130" s="46"/>
      <c r="N130" s="46"/>
      <c r="O130" s="46"/>
      <c r="P130" s="46"/>
      <c r="Q130" s="46"/>
      <c r="R130" s="46"/>
      <c r="S130" s="46"/>
      <c r="T130" s="46"/>
      <c r="U130" s="46"/>
      <c r="V130" s="46"/>
    </row>
    <row r="131" ht="15.75" customHeight="1">
      <c r="B131" s="55">
        <v>21.0</v>
      </c>
      <c r="C131" s="86" t="s">
        <v>204</v>
      </c>
      <c r="D131" s="67"/>
      <c r="E131" s="68"/>
      <c r="F131" s="46"/>
      <c r="H131" s="46"/>
      <c r="I131" s="46"/>
      <c r="J131" s="46"/>
      <c r="K131" s="46"/>
      <c r="L131" s="46"/>
      <c r="M131" s="46"/>
      <c r="N131" s="46"/>
      <c r="O131" s="46"/>
      <c r="P131" s="46"/>
      <c r="Q131" s="46"/>
      <c r="R131" s="46"/>
      <c r="S131" s="46"/>
      <c r="T131" s="46"/>
      <c r="U131" s="46"/>
      <c r="V131" s="46"/>
    </row>
    <row r="132" ht="15.75" customHeight="1">
      <c r="B132" s="59">
        <v>21.1</v>
      </c>
      <c r="C132" s="88" t="s">
        <v>205</v>
      </c>
      <c r="D132" s="61" t="s">
        <v>26</v>
      </c>
      <c r="E132" s="76" t="s">
        <v>206</v>
      </c>
      <c r="F132" s="46"/>
      <c r="H132" s="46"/>
      <c r="I132" s="46"/>
      <c r="J132" s="46"/>
      <c r="K132" s="46"/>
      <c r="L132" s="46"/>
      <c r="M132" s="46"/>
      <c r="N132" s="46"/>
      <c r="O132" s="46"/>
      <c r="P132" s="46"/>
      <c r="Q132" s="46"/>
      <c r="R132" s="46"/>
      <c r="S132" s="46"/>
      <c r="T132" s="46"/>
      <c r="U132" s="46"/>
      <c r="V132" s="46"/>
    </row>
    <row r="133" ht="15.75" customHeight="1">
      <c r="B133" s="59">
        <v>21.200000000000003</v>
      </c>
      <c r="C133" s="92" t="s">
        <v>207</v>
      </c>
      <c r="D133" s="61" t="s">
        <v>26</v>
      </c>
      <c r="E133" s="76" t="s">
        <v>208</v>
      </c>
      <c r="F133" s="46"/>
      <c r="G133" s="99"/>
      <c r="H133" s="46"/>
      <c r="I133" s="46"/>
      <c r="J133" s="46"/>
      <c r="K133" s="46"/>
      <c r="L133" s="46"/>
      <c r="M133" s="46"/>
      <c r="N133" s="46"/>
      <c r="O133" s="46"/>
      <c r="P133" s="46"/>
      <c r="Q133" s="46"/>
      <c r="R133" s="46"/>
      <c r="S133" s="46"/>
      <c r="T133" s="46"/>
      <c r="U133" s="46"/>
      <c r="V133" s="46"/>
    </row>
    <row r="134" ht="15.75" customHeight="1">
      <c r="B134" s="85">
        <v>22.0</v>
      </c>
      <c r="C134" s="86" t="s">
        <v>209</v>
      </c>
      <c r="D134" s="67"/>
      <c r="E134" s="68"/>
      <c r="F134" s="46"/>
      <c r="G134" s="99"/>
      <c r="H134" s="46"/>
      <c r="I134" s="46"/>
      <c r="J134" s="46"/>
      <c r="K134" s="46"/>
      <c r="L134" s="46"/>
      <c r="M134" s="46"/>
      <c r="N134" s="46"/>
      <c r="O134" s="46"/>
      <c r="P134" s="46"/>
      <c r="Q134" s="46"/>
      <c r="R134" s="46"/>
      <c r="S134" s="46"/>
      <c r="T134" s="46"/>
      <c r="U134" s="46"/>
      <c r="V134" s="46"/>
    </row>
    <row r="135" ht="15.75" customHeight="1">
      <c r="B135" s="59">
        <v>22.1</v>
      </c>
      <c r="C135" s="80" t="s">
        <v>210</v>
      </c>
      <c r="D135" s="61" t="s">
        <v>26</v>
      </c>
      <c r="E135" s="74" t="s">
        <v>211</v>
      </c>
      <c r="F135" s="46"/>
      <c r="G135" s="99"/>
      <c r="H135" s="46"/>
      <c r="I135" s="46"/>
      <c r="J135" s="46"/>
      <c r="K135" s="46"/>
      <c r="L135" s="46"/>
      <c r="M135" s="46"/>
      <c r="N135" s="46"/>
      <c r="O135" s="46"/>
      <c r="P135" s="46"/>
      <c r="Q135" s="46"/>
      <c r="R135" s="46"/>
      <c r="S135" s="46"/>
      <c r="T135" s="46"/>
      <c r="U135" s="46"/>
      <c r="V135" s="46"/>
    </row>
    <row r="136" ht="15.75" customHeight="1">
      <c r="B136" s="59">
        <v>22.200000000000003</v>
      </c>
      <c r="C136" s="80" t="s">
        <v>212</v>
      </c>
      <c r="D136" s="61" t="s">
        <v>26</v>
      </c>
      <c r="E136" s="74" t="s">
        <v>211</v>
      </c>
      <c r="F136" s="46"/>
      <c r="H136" s="46"/>
      <c r="I136" s="46"/>
      <c r="J136" s="46"/>
      <c r="K136" s="46"/>
      <c r="L136" s="46"/>
      <c r="M136" s="46"/>
      <c r="N136" s="46"/>
      <c r="O136" s="46"/>
      <c r="P136" s="46"/>
      <c r="Q136" s="46"/>
      <c r="R136" s="46"/>
      <c r="S136" s="46"/>
      <c r="T136" s="46"/>
      <c r="U136" s="46"/>
      <c r="V136" s="46"/>
    </row>
    <row r="137" ht="16.5" customHeight="1">
      <c r="B137" s="59">
        <v>22.300000000000004</v>
      </c>
      <c r="C137" s="80" t="s">
        <v>213</v>
      </c>
      <c r="D137" s="61" t="s">
        <v>26</v>
      </c>
      <c r="E137" s="74" t="s">
        <v>211</v>
      </c>
      <c r="F137" s="46"/>
      <c r="H137" s="46"/>
      <c r="I137" s="46"/>
      <c r="J137" s="46"/>
      <c r="K137" s="46"/>
      <c r="L137" s="46"/>
      <c r="M137" s="46"/>
      <c r="N137" s="46"/>
      <c r="O137" s="46"/>
      <c r="P137" s="46"/>
      <c r="Q137" s="46"/>
      <c r="R137" s="46"/>
      <c r="S137" s="46"/>
      <c r="T137" s="46"/>
      <c r="U137" s="46"/>
      <c r="V137" s="46"/>
    </row>
    <row r="138" ht="16.5" customHeight="1">
      <c r="B138" s="59">
        <v>22.400000000000006</v>
      </c>
      <c r="C138" s="80" t="s">
        <v>214</v>
      </c>
      <c r="D138" s="61" t="s">
        <v>26</v>
      </c>
      <c r="E138" s="74" t="s">
        <v>211</v>
      </c>
      <c r="F138" s="46"/>
      <c r="H138" s="46"/>
      <c r="I138" s="46"/>
      <c r="J138" s="46"/>
      <c r="K138" s="46"/>
      <c r="L138" s="46"/>
      <c r="M138" s="46"/>
      <c r="N138" s="46"/>
      <c r="O138" s="46"/>
      <c r="P138" s="46"/>
      <c r="Q138" s="46"/>
      <c r="R138" s="46"/>
      <c r="S138" s="46"/>
      <c r="T138" s="46"/>
      <c r="U138" s="46"/>
      <c r="V138" s="46"/>
    </row>
    <row r="139" ht="16.5" customHeight="1">
      <c r="B139" s="59">
        <v>22.500000000000007</v>
      </c>
      <c r="C139" s="80" t="s">
        <v>215</v>
      </c>
      <c r="D139" s="61" t="s">
        <v>26</v>
      </c>
      <c r="E139" s="74" t="s">
        <v>211</v>
      </c>
      <c r="F139" s="46"/>
      <c r="H139" s="46"/>
      <c r="I139" s="46"/>
      <c r="J139" s="46"/>
      <c r="K139" s="46"/>
      <c r="L139" s="46"/>
      <c r="M139" s="46"/>
      <c r="N139" s="46"/>
      <c r="O139" s="46"/>
      <c r="P139" s="46"/>
      <c r="Q139" s="46"/>
      <c r="R139" s="46"/>
      <c r="S139" s="46"/>
      <c r="T139" s="46"/>
      <c r="U139" s="46"/>
      <c r="V139" s="46"/>
    </row>
    <row r="140" ht="16.5" customHeight="1">
      <c r="B140" s="59">
        <v>22.6</v>
      </c>
      <c r="C140" s="80" t="s">
        <v>216</v>
      </c>
      <c r="D140" s="61" t="s">
        <v>26</v>
      </c>
      <c r="E140" s="74" t="s">
        <v>211</v>
      </c>
      <c r="F140" s="46"/>
      <c r="H140" s="46"/>
      <c r="I140" s="46"/>
      <c r="J140" s="46"/>
      <c r="K140" s="46"/>
      <c r="L140" s="46"/>
      <c r="M140" s="46"/>
      <c r="N140" s="46"/>
      <c r="O140" s="46"/>
      <c r="P140" s="46"/>
      <c r="Q140" s="46"/>
      <c r="R140" s="46"/>
      <c r="S140" s="46"/>
      <c r="T140" s="46"/>
      <c r="U140" s="46"/>
      <c r="V140" s="46"/>
    </row>
    <row r="141" ht="16.5" customHeight="1">
      <c r="B141" s="59">
        <v>22.7</v>
      </c>
      <c r="C141" s="80" t="s">
        <v>217</v>
      </c>
      <c r="D141" s="61" t="s">
        <v>26</v>
      </c>
      <c r="E141" s="74" t="s">
        <v>211</v>
      </c>
      <c r="F141" s="46"/>
      <c r="G141" s="46"/>
      <c r="H141" s="46"/>
      <c r="I141" s="46"/>
      <c r="J141" s="46"/>
      <c r="K141" s="46"/>
      <c r="L141" s="46"/>
      <c r="M141" s="46"/>
      <c r="N141" s="46"/>
      <c r="O141" s="46"/>
      <c r="P141" s="46"/>
      <c r="Q141" s="46"/>
      <c r="R141" s="46"/>
      <c r="S141" s="46"/>
      <c r="T141" s="46"/>
      <c r="U141" s="46"/>
      <c r="V141" s="46"/>
    </row>
    <row r="142" ht="16.5" customHeight="1">
      <c r="B142" s="59">
        <v>22.8</v>
      </c>
      <c r="C142" s="80" t="s">
        <v>218</v>
      </c>
      <c r="D142" s="61" t="s">
        <v>26</v>
      </c>
      <c r="E142" s="74" t="s">
        <v>211</v>
      </c>
      <c r="F142" s="46"/>
      <c r="H142" s="46"/>
      <c r="I142" s="46"/>
      <c r="J142" s="46"/>
      <c r="K142" s="46"/>
      <c r="L142" s="46"/>
      <c r="M142" s="46"/>
      <c r="N142" s="46"/>
      <c r="O142" s="46"/>
      <c r="P142" s="46"/>
      <c r="Q142" s="46"/>
      <c r="R142" s="46"/>
      <c r="S142" s="46"/>
      <c r="T142" s="46"/>
      <c r="U142" s="46"/>
      <c r="V142" s="46"/>
    </row>
    <row r="143" ht="16.5" customHeight="1">
      <c r="B143" s="59">
        <v>22.9</v>
      </c>
      <c r="C143" s="80" t="s">
        <v>219</v>
      </c>
      <c r="D143" s="61" t="s">
        <v>26</v>
      </c>
      <c r="E143" s="74" t="s">
        <v>211</v>
      </c>
      <c r="F143" s="46"/>
      <c r="G143" s="46"/>
      <c r="H143" s="46"/>
      <c r="I143" s="46"/>
      <c r="J143" s="46"/>
      <c r="K143" s="46"/>
      <c r="L143" s="46"/>
      <c r="M143" s="46"/>
      <c r="N143" s="46"/>
      <c r="O143" s="46"/>
      <c r="P143" s="46"/>
      <c r="Q143" s="46"/>
      <c r="R143" s="46"/>
      <c r="S143" s="46"/>
      <c r="T143" s="46"/>
      <c r="U143" s="46"/>
      <c r="V143" s="46"/>
    </row>
    <row r="144" ht="15.75" customHeight="1">
      <c r="B144" s="100">
        <v>34.0</v>
      </c>
      <c r="C144" s="101" t="s">
        <v>220</v>
      </c>
      <c r="D144" s="102"/>
      <c r="E144" s="102"/>
      <c r="F144" s="75"/>
      <c r="G144" s="103"/>
      <c r="H144" s="104"/>
      <c r="I144" s="46"/>
      <c r="J144" s="46"/>
      <c r="K144" s="46"/>
      <c r="L144" s="46"/>
      <c r="M144" s="46"/>
      <c r="N144" s="46"/>
      <c r="O144" s="46"/>
      <c r="P144" s="46"/>
      <c r="Q144" s="46"/>
      <c r="R144" s="46"/>
      <c r="S144" s="46"/>
      <c r="T144" s="46"/>
      <c r="U144" s="46"/>
      <c r="V144" s="46"/>
    </row>
    <row r="145" ht="15.75" customHeight="1">
      <c r="B145" s="59">
        <v>34.1</v>
      </c>
      <c r="C145" s="105" t="s">
        <v>221</v>
      </c>
      <c r="D145" s="61" t="s">
        <v>39</v>
      </c>
      <c r="E145" s="74" t="s">
        <v>222</v>
      </c>
      <c r="F145" s="106" t="s">
        <v>64</v>
      </c>
      <c r="G145" s="107" t="s">
        <v>223</v>
      </c>
      <c r="I145" s="46"/>
      <c r="J145" s="46"/>
      <c r="K145" s="46"/>
      <c r="L145" s="46"/>
      <c r="M145" s="46"/>
      <c r="N145" s="46"/>
      <c r="O145" s="46"/>
      <c r="P145" s="46"/>
      <c r="Q145" s="46"/>
      <c r="R145" s="46"/>
      <c r="S145" s="46"/>
      <c r="T145" s="46"/>
      <c r="U145" s="46"/>
      <c r="V145" s="46"/>
    </row>
    <row r="146" ht="15.75" customHeight="1">
      <c r="B146" s="59">
        <v>34.2</v>
      </c>
      <c r="C146" s="105" t="s">
        <v>224</v>
      </c>
      <c r="D146" s="61" t="s">
        <v>39</v>
      </c>
      <c r="E146" s="74" t="s">
        <v>222</v>
      </c>
      <c r="F146" s="106" t="s">
        <v>64</v>
      </c>
      <c r="G146" s="107" t="s">
        <v>225</v>
      </c>
      <c r="I146" s="46"/>
      <c r="J146" s="46"/>
      <c r="K146" s="46"/>
      <c r="L146" s="46"/>
      <c r="M146" s="46"/>
      <c r="N146" s="46"/>
      <c r="O146" s="46"/>
      <c r="P146" s="46"/>
      <c r="Q146" s="46"/>
      <c r="R146" s="46"/>
      <c r="S146" s="46"/>
      <c r="T146" s="46"/>
      <c r="U146" s="46"/>
      <c r="V146" s="46"/>
    </row>
    <row r="147" ht="15.75" customHeight="1">
      <c r="B147" s="100">
        <v>35.0</v>
      </c>
      <c r="C147" s="101" t="s">
        <v>226</v>
      </c>
      <c r="D147" s="102"/>
      <c r="E147" s="102"/>
      <c r="F147" s="108"/>
      <c r="G147" s="107"/>
      <c r="I147" s="46"/>
      <c r="J147" s="46"/>
      <c r="K147" s="46"/>
      <c r="L147" s="46"/>
      <c r="M147" s="46"/>
      <c r="N147" s="46"/>
      <c r="O147" s="46"/>
      <c r="P147" s="46"/>
      <c r="Q147" s="46"/>
      <c r="R147" s="46"/>
      <c r="S147" s="46"/>
      <c r="T147" s="46"/>
      <c r="U147" s="46"/>
      <c r="V147" s="46"/>
    </row>
    <row r="148" ht="15.75" customHeight="1">
      <c r="B148" s="95">
        <v>35.1</v>
      </c>
      <c r="C148" s="105" t="s">
        <v>227</v>
      </c>
      <c r="D148" s="61" t="s">
        <v>26</v>
      </c>
      <c r="E148" s="74" t="s">
        <v>228</v>
      </c>
      <c r="F148" s="106" t="s">
        <v>64</v>
      </c>
      <c r="G148" s="107" t="s">
        <v>229</v>
      </c>
      <c r="I148" s="46"/>
      <c r="J148" s="46"/>
      <c r="K148" s="46"/>
      <c r="L148" s="46"/>
      <c r="M148" s="46"/>
      <c r="N148" s="46"/>
      <c r="O148" s="46"/>
      <c r="P148" s="46"/>
      <c r="Q148" s="46"/>
      <c r="R148" s="46"/>
      <c r="S148" s="46"/>
      <c r="T148" s="46"/>
      <c r="U148" s="46"/>
      <c r="V148" s="46"/>
    </row>
    <row r="149" ht="15.75" customHeight="1">
      <c r="B149" s="95">
        <v>35.2</v>
      </c>
      <c r="C149" s="105" t="s">
        <v>230</v>
      </c>
      <c r="D149" s="61" t="s">
        <v>26</v>
      </c>
      <c r="E149" s="74" t="s">
        <v>228</v>
      </c>
      <c r="F149" s="106" t="s">
        <v>64</v>
      </c>
      <c r="G149" s="107" t="s">
        <v>231</v>
      </c>
      <c r="I149" s="46"/>
      <c r="J149" s="46"/>
      <c r="K149" s="46"/>
      <c r="L149" s="46"/>
      <c r="M149" s="46"/>
      <c r="N149" s="46"/>
      <c r="O149" s="46"/>
      <c r="P149" s="46"/>
      <c r="Q149" s="46"/>
      <c r="R149" s="46"/>
      <c r="S149" s="46"/>
      <c r="T149" s="46"/>
      <c r="U149" s="46"/>
      <c r="V149" s="46"/>
    </row>
    <row r="150" ht="15.75" customHeight="1">
      <c r="B150" s="95">
        <v>35.3</v>
      </c>
      <c r="C150" s="105" t="s">
        <v>232</v>
      </c>
      <c r="D150" s="61" t="s">
        <v>26</v>
      </c>
      <c r="E150" s="74" t="s">
        <v>228</v>
      </c>
      <c r="F150" s="106" t="s">
        <v>64</v>
      </c>
      <c r="G150" s="107" t="s">
        <v>233</v>
      </c>
      <c r="I150" s="46"/>
      <c r="J150" s="46"/>
      <c r="K150" s="46"/>
      <c r="L150" s="46"/>
      <c r="M150" s="46"/>
      <c r="N150" s="46"/>
      <c r="O150" s="46"/>
      <c r="P150" s="46"/>
      <c r="Q150" s="46"/>
      <c r="R150" s="46"/>
      <c r="S150" s="46"/>
      <c r="T150" s="46"/>
      <c r="U150" s="46"/>
      <c r="V150" s="46"/>
    </row>
    <row r="151" ht="15.75" customHeight="1">
      <c r="B151" s="95">
        <v>35.4</v>
      </c>
      <c r="C151" s="105" t="s">
        <v>234</v>
      </c>
      <c r="D151" s="61" t="s">
        <v>26</v>
      </c>
      <c r="E151" s="74" t="s">
        <v>228</v>
      </c>
      <c r="F151" s="106" t="s">
        <v>64</v>
      </c>
      <c r="G151" s="107" t="s">
        <v>235</v>
      </c>
      <c r="I151" s="46"/>
      <c r="J151" s="46"/>
      <c r="K151" s="46"/>
      <c r="L151" s="46"/>
      <c r="M151" s="46"/>
      <c r="N151" s="46"/>
      <c r="O151" s="46"/>
      <c r="P151" s="46"/>
      <c r="Q151" s="46"/>
      <c r="R151" s="46"/>
      <c r="S151" s="46"/>
      <c r="T151" s="46"/>
      <c r="U151" s="46"/>
      <c r="V151" s="46"/>
    </row>
    <row r="152" ht="15.75" customHeight="1">
      <c r="B152" s="95">
        <v>35.5</v>
      </c>
      <c r="C152" s="105" t="s">
        <v>236</v>
      </c>
      <c r="D152" s="61" t="s">
        <v>26</v>
      </c>
      <c r="E152" s="74" t="s">
        <v>228</v>
      </c>
      <c r="F152" s="106" t="s">
        <v>64</v>
      </c>
      <c r="G152" s="107" t="s">
        <v>237</v>
      </c>
      <c r="I152" s="46"/>
      <c r="J152" s="46"/>
      <c r="K152" s="46"/>
      <c r="L152" s="46"/>
      <c r="M152" s="46"/>
      <c r="N152" s="46"/>
      <c r="O152" s="46"/>
      <c r="P152" s="46"/>
      <c r="Q152" s="46"/>
      <c r="R152" s="46"/>
      <c r="S152" s="46"/>
      <c r="T152" s="46"/>
      <c r="U152" s="46"/>
      <c r="V152" s="46"/>
    </row>
    <row r="153" ht="15.75" customHeight="1">
      <c r="B153" s="95">
        <v>35.6</v>
      </c>
      <c r="C153" s="105" t="s">
        <v>238</v>
      </c>
      <c r="D153" s="61" t="s">
        <v>239</v>
      </c>
      <c r="E153" s="74" t="s">
        <v>228</v>
      </c>
      <c r="F153" s="106" t="s">
        <v>64</v>
      </c>
      <c r="G153" s="107" t="s">
        <v>240</v>
      </c>
      <c r="I153" s="46"/>
      <c r="J153" s="46"/>
      <c r="K153" s="46"/>
      <c r="L153" s="46"/>
      <c r="M153" s="46"/>
      <c r="N153" s="46"/>
      <c r="O153" s="46"/>
      <c r="P153" s="46"/>
      <c r="Q153" s="46"/>
      <c r="R153" s="46"/>
      <c r="S153" s="46"/>
      <c r="T153" s="46"/>
      <c r="U153" s="46"/>
      <c r="V153" s="46"/>
    </row>
    <row r="154" ht="15.75" customHeight="1">
      <c r="B154" s="95">
        <v>35.7</v>
      </c>
      <c r="C154" s="105" t="s">
        <v>241</v>
      </c>
      <c r="D154" s="61" t="s">
        <v>26</v>
      </c>
      <c r="E154" s="74" t="s">
        <v>228</v>
      </c>
      <c r="F154" s="106" t="s">
        <v>64</v>
      </c>
      <c r="G154" s="107"/>
      <c r="I154" s="46"/>
      <c r="J154" s="46"/>
      <c r="K154" s="46"/>
      <c r="L154" s="46"/>
      <c r="M154" s="46"/>
      <c r="N154" s="46"/>
      <c r="O154" s="46"/>
      <c r="P154" s="46"/>
      <c r="Q154" s="46"/>
      <c r="R154" s="46"/>
      <c r="S154" s="46"/>
      <c r="T154" s="46"/>
      <c r="U154" s="46"/>
      <c r="V154" s="46"/>
    </row>
    <row r="155" ht="15.75" customHeight="1">
      <c r="B155" s="95">
        <v>35.8</v>
      </c>
      <c r="C155" s="105" t="s">
        <v>242</v>
      </c>
      <c r="D155" s="61" t="s">
        <v>26</v>
      </c>
      <c r="E155" s="74" t="s">
        <v>228</v>
      </c>
      <c r="F155" s="106" t="s">
        <v>64</v>
      </c>
      <c r="G155" s="107" t="s">
        <v>243</v>
      </c>
      <c r="I155" s="46"/>
      <c r="J155" s="46"/>
      <c r="K155" s="46"/>
      <c r="L155" s="46"/>
      <c r="M155" s="46"/>
      <c r="N155" s="46"/>
      <c r="O155" s="46"/>
      <c r="P155" s="46"/>
      <c r="Q155" s="46"/>
      <c r="R155" s="46"/>
      <c r="S155" s="46"/>
      <c r="T155" s="46"/>
      <c r="U155" s="46"/>
      <c r="V155" s="46"/>
    </row>
    <row r="156" ht="15.75" customHeight="1">
      <c r="B156" s="100">
        <v>36.0</v>
      </c>
      <c r="C156" s="101" t="s">
        <v>244</v>
      </c>
      <c r="D156" s="102"/>
      <c r="E156" s="102"/>
      <c r="F156" s="108"/>
      <c r="G156" s="107"/>
      <c r="I156" s="46"/>
      <c r="J156" s="46"/>
      <c r="K156" s="46"/>
      <c r="L156" s="46"/>
      <c r="M156" s="46"/>
      <c r="N156" s="46"/>
      <c r="O156" s="46"/>
      <c r="P156" s="46"/>
      <c r="Q156" s="46"/>
      <c r="R156" s="46"/>
      <c r="S156" s="46"/>
      <c r="T156" s="46"/>
      <c r="U156" s="46"/>
      <c r="V156" s="46"/>
    </row>
    <row r="157" ht="15.75" customHeight="1">
      <c r="B157" s="95">
        <v>36.1</v>
      </c>
      <c r="C157" s="80" t="s">
        <v>245</v>
      </c>
      <c r="D157" s="61" t="s">
        <v>26</v>
      </c>
      <c r="E157" s="74" t="s">
        <v>246</v>
      </c>
      <c r="F157" s="106" t="s">
        <v>64</v>
      </c>
      <c r="G157" s="107" t="s">
        <v>247</v>
      </c>
      <c r="I157" s="46"/>
      <c r="J157" s="46"/>
      <c r="K157" s="46"/>
      <c r="L157" s="46"/>
      <c r="M157" s="46"/>
      <c r="N157" s="46"/>
      <c r="O157" s="46"/>
      <c r="P157" s="46"/>
      <c r="Q157" s="46"/>
      <c r="R157" s="46"/>
      <c r="S157" s="46"/>
      <c r="T157" s="46"/>
      <c r="U157" s="46"/>
      <c r="V157" s="46"/>
    </row>
    <row r="158" ht="15.75" customHeight="1">
      <c r="B158" s="95">
        <v>36.2</v>
      </c>
      <c r="C158" s="80" t="s">
        <v>248</v>
      </c>
      <c r="D158" s="61" t="s">
        <v>26</v>
      </c>
      <c r="E158" s="74" t="s">
        <v>246</v>
      </c>
      <c r="F158" s="106" t="s">
        <v>64</v>
      </c>
      <c r="G158" s="107" t="s">
        <v>249</v>
      </c>
      <c r="I158" s="46"/>
      <c r="J158" s="46"/>
      <c r="K158" s="46"/>
      <c r="L158" s="46"/>
      <c r="M158" s="46"/>
      <c r="N158" s="46"/>
      <c r="O158" s="46"/>
      <c r="P158" s="46"/>
      <c r="Q158" s="46"/>
      <c r="R158" s="46"/>
      <c r="S158" s="46"/>
      <c r="T158" s="46"/>
      <c r="U158" s="46"/>
      <c r="V158" s="46"/>
    </row>
    <row r="159" ht="15.75" customHeight="1">
      <c r="B159" s="95">
        <v>36.3</v>
      </c>
      <c r="C159" s="80" t="s">
        <v>250</v>
      </c>
      <c r="D159" s="61" t="s">
        <v>26</v>
      </c>
      <c r="E159" s="74" t="s">
        <v>246</v>
      </c>
      <c r="F159" s="106" t="s">
        <v>64</v>
      </c>
      <c r="G159" s="107" t="s">
        <v>251</v>
      </c>
      <c r="I159" s="46"/>
      <c r="J159" s="46"/>
      <c r="K159" s="46"/>
      <c r="L159" s="46"/>
      <c r="M159" s="46"/>
      <c r="N159" s="46"/>
      <c r="O159" s="46"/>
      <c r="P159" s="46"/>
      <c r="Q159" s="46"/>
      <c r="R159" s="46"/>
      <c r="S159" s="46"/>
      <c r="T159" s="46"/>
      <c r="U159" s="46"/>
      <c r="V159" s="46"/>
    </row>
    <row r="160" ht="15.75" customHeight="1">
      <c r="B160" s="95">
        <v>36.4</v>
      </c>
      <c r="C160" s="80" t="s">
        <v>252</v>
      </c>
      <c r="D160" s="61" t="s">
        <v>26</v>
      </c>
      <c r="E160" s="74" t="s">
        <v>246</v>
      </c>
      <c r="F160" s="106" t="s">
        <v>64</v>
      </c>
      <c r="G160" s="107" t="s">
        <v>253</v>
      </c>
      <c r="I160" s="46"/>
      <c r="J160" s="46"/>
      <c r="K160" s="46"/>
      <c r="L160" s="46"/>
      <c r="M160" s="46"/>
      <c r="N160" s="46"/>
      <c r="O160" s="46"/>
      <c r="P160" s="46"/>
      <c r="Q160" s="46"/>
      <c r="R160" s="46"/>
      <c r="S160" s="46"/>
      <c r="T160" s="46"/>
      <c r="U160" s="46"/>
      <c r="V160" s="46"/>
    </row>
    <row r="161" ht="15.75" customHeight="1">
      <c r="B161" s="95">
        <v>36.5</v>
      </c>
      <c r="C161" s="80" t="s">
        <v>254</v>
      </c>
      <c r="D161" s="61" t="s">
        <v>26</v>
      </c>
      <c r="E161" s="74" t="s">
        <v>246</v>
      </c>
      <c r="F161" s="106" t="s">
        <v>64</v>
      </c>
      <c r="G161" s="107" t="s">
        <v>255</v>
      </c>
      <c r="I161" s="46"/>
      <c r="J161" s="46"/>
      <c r="K161" s="46"/>
      <c r="L161" s="46"/>
      <c r="M161" s="46"/>
      <c r="N161" s="46"/>
      <c r="O161" s="46"/>
      <c r="P161" s="46"/>
      <c r="Q161" s="46"/>
      <c r="R161" s="46"/>
      <c r="S161" s="46"/>
      <c r="T161" s="46"/>
      <c r="U161" s="46"/>
      <c r="V161" s="46"/>
    </row>
    <row r="162" ht="15.75" customHeight="1">
      <c r="B162" s="85">
        <v>23.0</v>
      </c>
      <c r="C162" s="66" t="s">
        <v>256</v>
      </c>
      <c r="D162" s="67"/>
      <c r="E162" s="68"/>
      <c r="F162" s="46"/>
      <c r="G162" s="109"/>
      <c r="H162" s="46"/>
      <c r="I162" s="46"/>
      <c r="J162" s="46"/>
      <c r="K162" s="46"/>
      <c r="L162" s="46"/>
      <c r="M162" s="46"/>
      <c r="N162" s="46"/>
      <c r="O162" s="46"/>
      <c r="P162" s="46"/>
      <c r="Q162" s="46"/>
      <c r="R162" s="46"/>
      <c r="S162" s="46"/>
      <c r="T162" s="46"/>
      <c r="U162" s="46"/>
      <c r="V162" s="46"/>
    </row>
    <row r="163" ht="16.5" customHeight="1">
      <c r="B163" s="59">
        <v>23.1</v>
      </c>
      <c r="C163" s="88" t="s">
        <v>257</v>
      </c>
      <c r="D163" s="61" t="s">
        <v>239</v>
      </c>
      <c r="E163" s="76" t="s">
        <v>258</v>
      </c>
      <c r="F163" s="106" t="s">
        <v>64</v>
      </c>
      <c r="G163" s="109"/>
      <c r="H163" s="46"/>
      <c r="I163" s="46"/>
      <c r="J163" s="46"/>
      <c r="K163" s="46"/>
      <c r="L163" s="46"/>
      <c r="M163" s="46"/>
      <c r="N163" s="46"/>
      <c r="O163" s="46"/>
      <c r="P163" s="46"/>
      <c r="Q163" s="46"/>
      <c r="R163" s="46"/>
      <c r="S163" s="46"/>
      <c r="T163" s="46"/>
      <c r="U163" s="46"/>
      <c r="V163" s="46"/>
    </row>
    <row r="164" ht="15.75" customHeight="1">
      <c r="B164" s="59">
        <v>23.200000000000003</v>
      </c>
      <c r="C164" s="88" t="s">
        <v>259</v>
      </c>
      <c r="D164" s="61" t="s">
        <v>26</v>
      </c>
      <c r="E164" s="76" t="s">
        <v>258</v>
      </c>
      <c r="F164" s="106" t="s">
        <v>64</v>
      </c>
      <c r="G164" s="46"/>
      <c r="H164" s="46"/>
      <c r="I164" s="46"/>
      <c r="J164" s="46"/>
      <c r="K164" s="46"/>
      <c r="L164" s="46"/>
      <c r="M164" s="46"/>
      <c r="N164" s="46"/>
      <c r="O164" s="46"/>
      <c r="P164" s="46"/>
      <c r="Q164" s="46"/>
      <c r="R164" s="46"/>
      <c r="S164" s="46"/>
      <c r="T164" s="46"/>
      <c r="U164" s="46"/>
      <c r="V164" s="46"/>
    </row>
    <row r="165" ht="15.75" customHeight="1">
      <c r="B165" s="59">
        <v>23.300000000000004</v>
      </c>
      <c r="C165" s="70" t="s">
        <v>260</v>
      </c>
      <c r="D165" s="61" t="s">
        <v>26</v>
      </c>
      <c r="E165" s="76" t="s">
        <v>258</v>
      </c>
      <c r="F165" s="106" t="s">
        <v>64</v>
      </c>
      <c r="G165" s="46"/>
      <c r="H165" s="46"/>
      <c r="I165" s="46"/>
      <c r="J165" s="46"/>
      <c r="K165" s="46"/>
      <c r="L165" s="46"/>
      <c r="M165" s="46"/>
      <c r="N165" s="46"/>
      <c r="O165" s="46"/>
      <c r="P165" s="46"/>
      <c r="Q165" s="46"/>
      <c r="R165" s="46"/>
      <c r="S165" s="46"/>
      <c r="T165" s="46"/>
      <c r="U165" s="46"/>
      <c r="V165" s="46"/>
    </row>
    <row r="166" ht="15.75" customHeight="1">
      <c r="B166" s="59">
        <v>23.400000000000006</v>
      </c>
      <c r="C166" s="88" t="s">
        <v>261</v>
      </c>
      <c r="D166" s="61" t="s">
        <v>26</v>
      </c>
      <c r="E166" s="76" t="s">
        <v>258</v>
      </c>
      <c r="F166" s="106" t="s">
        <v>64</v>
      </c>
      <c r="G166" s="46"/>
      <c r="H166" s="46"/>
      <c r="I166" s="46"/>
      <c r="J166" s="46"/>
      <c r="K166" s="46"/>
      <c r="L166" s="46"/>
      <c r="M166" s="46"/>
      <c r="N166" s="46"/>
      <c r="O166" s="46"/>
      <c r="P166" s="46"/>
      <c r="Q166" s="46"/>
      <c r="R166" s="46"/>
      <c r="S166" s="46"/>
      <c r="T166" s="46"/>
      <c r="U166" s="46"/>
      <c r="V166" s="46"/>
    </row>
    <row r="167" ht="15.75" customHeight="1">
      <c r="B167" s="59">
        <v>23.500000000000007</v>
      </c>
      <c r="C167" s="70" t="s">
        <v>262</v>
      </c>
      <c r="D167" s="61" t="s">
        <v>26</v>
      </c>
      <c r="E167" s="76" t="s">
        <v>258</v>
      </c>
      <c r="F167" s="106" t="s">
        <v>64</v>
      </c>
      <c r="G167" s="46"/>
      <c r="H167" s="46"/>
      <c r="I167" s="46"/>
      <c r="J167" s="46"/>
      <c r="K167" s="46"/>
      <c r="L167" s="46"/>
      <c r="M167" s="46"/>
      <c r="N167" s="46"/>
      <c r="O167" s="46"/>
      <c r="P167" s="46"/>
      <c r="Q167" s="46"/>
      <c r="R167" s="46"/>
      <c r="S167" s="46"/>
      <c r="T167" s="46"/>
      <c r="U167" s="46"/>
      <c r="V167" s="46"/>
    </row>
    <row r="168" ht="16.5" customHeight="1">
      <c r="B168" s="59">
        <v>23.60000000000001</v>
      </c>
      <c r="C168" s="70" t="s">
        <v>263</v>
      </c>
      <c r="D168" s="61" t="s">
        <v>39</v>
      </c>
      <c r="E168" s="65" t="s">
        <v>40</v>
      </c>
      <c r="F168" s="106" t="s">
        <v>64</v>
      </c>
      <c r="G168" s="46"/>
      <c r="H168" s="46"/>
      <c r="I168" s="46"/>
      <c r="J168" s="46"/>
      <c r="K168" s="46"/>
      <c r="L168" s="46"/>
      <c r="M168" s="46"/>
      <c r="N168" s="46"/>
      <c r="O168" s="46"/>
      <c r="P168" s="46"/>
      <c r="Q168" s="46"/>
      <c r="R168" s="46"/>
      <c r="S168" s="46"/>
      <c r="T168" s="46"/>
      <c r="U168" s="46"/>
      <c r="V168" s="46"/>
    </row>
    <row r="169" ht="15.75" customHeight="1">
      <c r="B169" s="59">
        <v>23.70000000000001</v>
      </c>
      <c r="C169" s="70" t="s">
        <v>264</v>
      </c>
      <c r="D169" s="61" t="s">
        <v>239</v>
      </c>
      <c r="E169" s="76" t="s">
        <v>258</v>
      </c>
      <c r="F169" s="106" t="s">
        <v>64</v>
      </c>
      <c r="G169" s="46"/>
      <c r="H169" s="46"/>
      <c r="I169" s="46"/>
      <c r="J169" s="46"/>
      <c r="K169" s="46"/>
      <c r="L169" s="46"/>
      <c r="M169" s="46"/>
      <c r="N169" s="46"/>
      <c r="O169" s="46"/>
      <c r="P169" s="46"/>
      <c r="Q169" s="46"/>
      <c r="R169" s="46"/>
      <c r="S169" s="46"/>
      <c r="T169" s="46"/>
      <c r="U169" s="46"/>
      <c r="V169" s="46"/>
    </row>
    <row r="170" ht="15.75" customHeight="1">
      <c r="B170" s="59">
        <v>23.80000000000001</v>
      </c>
      <c r="C170" s="70" t="s">
        <v>265</v>
      </c>
      <c r="D170" s="61" t="s">
        <v>26</v>
      </c>
      <c r="E170" s="76" t="s">
        <v>258</v>
      </c>
      <c r="F170" s="106" t="s">
        <v>64</v>
      </c>
      <c r="G170" s="46"/>
      <c r="H170" s="46"/>
      <c r="I170" s="46"/>
      <c r="J170" s="46"/>
      <c r="K170" s="46"/>
      <c r="L170" s="46"/>
      <c r="M170" s="46"/>
      <c r="N170" s="46"/>
      <c r="O170" s="46"/>
      <c r="P170" s="46"/>
      <c r="Q170" s="46"/>
      <c r="R170" s="46"/>
      <c r="S170" s="46"/>
      <c r="T170" s="46"/>
      <c r="U170" s="46"/>
      <c r="V170" s="46"/>
    </row>
    <row r="171" ht="15.75" customHeight="1">
      <c r="B171" s="85">
        <v>24.0</v>
      </c>
      <c r="C171" s="86" t="s">
        <v>266</v>
      </c>
      <c r="D171" s="67"/>
      <c r="E171" s="68"/>
      <c r="F171" s="46"/>
      <c r="G171" s="46"/>
      <c r="H171" s="46"/>
      <c r="I171" s="46"/>
      <c r="J171" s="46"/>
      <c r="K171" s="46"/>
      <c r="L171" s="46"/>
      <c r="M171" s="46"/>
      <c r="N171" s="46"/>
      <c r="O171" s="46"/>
      <c r="P171" s="46"/>
      <c r="Q171" s="46"/>
      <c r="R171" s="46"/>
      <c r="S171" s="46"/>
      <c r="T171" s="46"/>
      <c r="U171" s="46"/>
      <c r="V171" s="46"/>
    </row>
    <row r="172" ht="15.75" customHeight="1">
      <c r="B172" s="59">
        <v>24.1</v>
      </c>
      <c r="C172" s="80" t="s">
        <v>267</v>
      </c>
      <c r="D172" s="61" t="s">
        <v>26</v>
      </c>
      <c r="E172" s="76" t="s">
        <v>268</v>
      </c>
      <c r="F172" s="46"/>
      <c r="G172" s="46"/>
      <c r="H172" s="46"/>
      <c r="I172" s="46"/>
      <c r="J172" s="46"/>
      <c r="K172" s="46"/>
      <c r="L172" s="46"/>
      <c r="M172" s="46"/>
      <c r="N172" s="46"/>
      <c r="O172" s="46"/>
      <c r="P172" s="46"/>
      <c r="Q172" s="46"/>
      <c r="R172" s="46"/>
      <c r="S172" s="46"/>
      <c r="T172" s="46"/>
      <c r="U172" s="46"/>
      <c r="V172" s="46"/>
    </row>
    <row r="173" ht="15.75" customHeight="1">
      <c r="B173" s="59">
        <v>24.200000000000003</v>
      </c>
      <c r="C173" s="88" t="s">
        <v>269</v>
      </c>
      <c r="D173" s="61" t="s">
        <v>26</v>
      </c>
      <c r="E173" s="76" t="s">
        <v>268</v>
      </c>
      <c r="F173" s="46"/>
      <c r="G173" s="46"/>
      <c r="H173" s="46"/>
      <c r="I173" s="46"/>
      <c r="J173" s="46"/>
      <c r="K173" s="46"/>
      <c r="L173" s="46"/>
      <c r="M173" s="46"/>
      <c r="N173" s="46"/>
      <c r="O173" s="46"/>
      <c r="P173" s="46"/>
      <c r="Q173" s="46"/>
      <c r="R173" s="46"/>
      <c r="S173" s="46"/>
      <c r="T173" s="46"/>
      <c r="U173" s="46"/>
      <c r="V173" s="46"/>
    </row>
    <row r="174" ht="15.75" customHeight="1">
      <c r="B174" s="59">
        <v>24.300000000000004</v>
      </c>
      <c r="C174" s="92" t="s">
        <v>270</v>
      </c>
      <c r="D174" s="61" t="s">
        <v>26</v>
      </c>
      <c r="E174" s="76" t="s">
        <v>268</v>
      </c>
      <c r="F174" s="46"/>
      <c r="G174" s="46"/>
      <c r="H174" s="46"/>
      <c r="I174" s="46"/>
      <c r="J174" s="46"/>
      <c r="K174" s="46"/>
      <c r="L174" s="46"/>
      <c r="M174" s="46"/>
      <c r="N174" s="46"/>
      <c r="O174" s="46"/>
      <c r="P174" s="46"/>
      <c r="Q174" s="46"/>
      <c r="R174" s="46"/>
      <c r="S174" s="46"/>
      <c r="T174" s="46"/>
      <c r="U174" s="46"/>
      <c r="V174" s="46"/>
    </row>
    <row r="175" ht="15.75" customHeight="1">
      <c r="B175" s="59">
        <v>24.400000000000006</v>
      </c>
      <c r="C175" s="88" t="s">
        <v>271</v>
      </c>
      <c r="D175" s="61" t="s">
        <v>26</v>
      </c>
      <c r="E175" s="76" t="s">
        <v>268</v>
      </c>
      <c r="F175" s="46"/>
      <c r="G175" s="46"/>
      <c r="H175" s="46"/>
      <c r="I175" s="46"/>
      <c r="J175" s="46"/>
      <c r="K175" s="46"/>
      <c r="L175" s="46"/>
      <c r="M175" s="46"/>
      <c r="N175" s="46"/>
      <c r="O175" s="46"/>
      <c r="P175" s="46"/>
      <c r="Q175" s="46"/>
      <c r="R175" s="46"/>
      <c r="S175" s="46"/>
      <c r="T175" s="46"/>
      <c r="U175" s="46"/>
      <c r="V175" s="46"/>
    </row>
    <row r="176" ht="15.75" customHeight="1">
      <c r="B176" s="59">
        <v>24.500000000000007</v>
      </c>
      <c r="C176" s="88" t="s">
        <v>272</v>
      </c>
      <c r="D176" s="61" t="s">
        <v>26</v>
      </c>
      <c r="E176" s="76" t="s">
        <v>268</v>
      </c>
      <c r="F176" s="46"/>
      <c r="G176" s="46"/>
      <c r="H176" s="46"/>
      <c r="I176" s="46"/>
      <c r="J176" s="46"/>
      <c r="K176" s="46"/>
      <c r="L176" s="46"/>
      <c r="M176" s="46"/>
      <c r="N176" s="46"/>
      <c r="O176" s="46"/>
      <c r="P176" s="46"/>
      <c r="Q176" s="46"/>
      <c r="R176" s="46"/>
      <c r="S176" s="46"/>
      <c r="T176" s="46"/>
      <c r="U176" s="46"/>
      <c r="V176" s="46"/>
    </row>
    <row r="177" ht="16.5" customHeight="1">
      <c r="B177" s="59">
        <v>24.60000000000001</v>
      </c>
      <c r="C177" s="80" t="s">
        <v>273</v>
      </c>
      <c r="D177" s="61" t="s">
        <v>26</v>
      </c>
      <c r="E177" s="98" t="s">
        <v>274</v>
      </c>
      <c r="F177" s="46"/>
      <c r="G177" s="46"/>
      <c r="H177" s="46"/>
      <c r="I177" s="46"/>
      <c r="J177" s="46"/>
      <c r="K177" s="46"/>
      <c r="L177" s="46"/>
      <c r="M177" s="46"/>
      <c r="N177" s="46"/>
      <c r="O177" s="46"/>
      <c r="P177" s="46"/>
      <c r="Q177" s="46"/>
      <c r="R177" s="46"/>
      <c r="S177" s="46"/>
      <c r="T177" s="46"/>
      <c r="U177" s="46"/>
      <c r="V177" s="46"/>
    </row>
    <row r="178" ht="16.5" customHeight="1">
      <c r="B178" s="59">
        <v>24.70000000000001</v>
      </c>
      <c r="C178" s="80" t="s">
        <v>275</v>
      </c>
      <c r="D178" s="61" t="s">
        <v>26</v>
      </c>
      <c r="E178" s="76" t="s">
        <v>276</v>
      </c>
      <c r="F178" s="46"/>
      <c r="G178" s="46"/>
      <c r="H178" s="46"/>
      <c r="I178" s="46"/>
      <c r="J178" s="46"/>
      <c r="K178" s="46"/>
      <c r="L178" s="46"/>
      <c r="M178" s="46"/>
      <c r="N178" s="46"/>
      <c r="O178" s="46"/>
      <c r="P178" s="46"/>
      <c r="Q178" s="46"/>
      <c r="R178" s="46"/>
      <c r="S178" s="46"/>
      <c r="T178" s="46"/>
      <c r="U178" s="46"/>
      <c r="V178" s="46"/>
    </row>
    <row r="179" ht="15.75" customHeight="1">
      <c r="B179" s="59">
        <v>24.80000000000001</v>
      </c>
      <c r="C179" s="80" t="s">
        <v>277</v>
      </c>
      <c r="D179" s="61" t="s">
        <v>26</v>
      </c>
      <c r="E179" s="76" t="s">
        <v>278</v>
      </c>
      <c r="F179" s="46"/>
      <c r="G179" s="46"/>
      <c r="H179" s="46"/>
      <c r="I179" s="46"/>
      <c r="J179" s="46"/>
      <c r="K179" s="46"/>
      <c r="L179" s="46"/>
      <c r="M179" s="46"/>
      <c r="N179" s="46"/>
      <c r="O179" s="46"/>
      <c r="P179" s="46"/>
      <c r="Q179" s="46"/>
      <c r="R179" s="46"/>
      <c r="S179" s="46"/>
      <c r="T179" s="46"/>
      <c r="U179" s="46"/>
      <c r="V179" s="46"/>
    </row>
    <row r="180" ht="15.75" customHeight="1">
      <c r="B180" s="59">
        <v>24.9</v>
      </c>
      <c r="C180" s="80" t="s">
        <v>279</v>
      </c>
      <c r="D180" s="61" t="s">
        <v>26</v>
      </c>
      <c r="E180" s="76" t="s">
        <v>268</v>
      </c>
      <c r="F180" s="46"/>
      <c r="G180" s="46"/>
      <c r="H180" s="46"/>
      <c r="I180" s="46"/>
      <c r="J180" s="46"/>
      <c r="K180" s="46"/>
      <c r="L180" s="46"/>
      <c r="M180" s="46"/>
      <c r="N180" s="46"/>
      <c r="O180" s="46"/>
      <c r="P180" s="46"/>
      <c r="Q180" s="46"/>
      <c r="R180" s="46"/>
      <c r="S180" s="46"/>
      <c r="T180" s="46"/>
      <c r="U180" s="46"/>
      <c r="V180" s="46"/>
    </row>
    <row r="181" ht="15.75" customHeight="1">
      <c r="B181" s="85">
        <v>25.0</v>
      </c>
      <c r="C181" s="66" t="s">
        <v>280</v>
      </c>
      <c r="D181" s="110"/>
      <c r="E181" s="68"/>
      <c r="F181" s="46"/>
      <c r="G181" s="46"/>
      <c r="H181" s="46"/>
      <c r="I181" s="46"/>
      <c r="J181" s="46"/>
      <c r="K181" s="46"/>
      <c r="L181" s="46"/>
      <c r="M181" s="46"/>
      <c r="N181" s="46"/>
      <c r="O181" s="46"/>
      <c r="P181" s="46"/>
      <c r="Q181" s="46"/>
      <c r="R181" s="46"/>
      <c r="S181" s="46"/>
      <c r="T181" s="46"/>
      <c r="U181" s="46"/>
      <c r="V181" s="46"/>
    </row>
    <row r="182" ht="15.75" customHeight="1">
      <c r="B182" s="59">
        <v>25.1</v>
      </c>
      <c r="C182" s="80" t="s">
        <v>281</v>
      </c>
      <c r="D182" s="61" t="s">
        <v>26</v>
      </c>
      <c r="E182" s="76" t="s">
        <v>282</v>
      </c>
      <c r="F182" s="46"/>
      <c r="G182" s="46"/>
      <c r="H182" s="46"/>
      <c r="I182" s="46"/>
      <c r="J182" s="46"/>
      <c r="K182" s="46"/>
      <c r="L182" s="46"/>
      <c r="M182" s="46"/>
      <c r="N182" s="46"/>
      <c r="O182" s="46"/>
      <c r="P182" s="46"/>
      <c r="Q182" s="46"/>
      <c r="R182" s="46"/>
      <c r="S182" s="46"/>
      <c r="T182" s="46"/>
      <c r="U182" s="46"/>
      <c r="V182" s="46"/>
    </row>
    <row r="183">
      <c r="A183" s="97"/>
      <c r="B183" s="59">
        <v>25.2</v>
      </c>
      <c r="C183" s="80" t="s">
        <v>283</v>
      </c>
      <c r="D183" s="61" t="s">
        <v>26</v>
      </c>
      <c r="E183" s="111" t="s">
        <v>284</v>
      </c>
      <c r="F183" s="46"/>
      <c r="G183" s="46"/>
      <c r="H183" s="46"/>
      <c r="I183" s="46"/>
      <c r="J183" s="46"/>
      <c r="K183" s="46"/>
      <c r="L183" s="46"/>
      <c r="M183" s="46"/>
      <c r="N183" s="46"/>
      <c r="O183" s="46"/>
      <c r="P183" s="46"/>
      <c r="Q183" s="46"/>
      <c r="R183" s="46"/>
      <c r="S183" s="46"/>
      <c r="T183" s="46"/>
      <c r="U183" s="46"/>
      <c r="V183" s="46"/>
    </row>
    <row r="184">
      <c r="A184" s="97"/>
      <c r="B184" s="59">
        <v>25.3</v>
      </c>
      <c r="C184" s="80" t="s">
        <v>285</v>
      </c>
      <c r="D184" s="61">
        <v>49.0</v>
      </c>
      <c r="E184" s="109" t="s">
        <v>286</v>
      </c>
      <c r="F184" s="46"/>
      <c r="G184" s="46"/>
      <c r="H184" s="46"/>
      <c r="I184" s="46"/>
      <c r="J184" s="46"/>
      <c r="K184" s="46"/>
      <c r="L184" s="46"/>
      <c r="M184" s="46"/>
      <c r="N184" s="46"/>
      <c r="O184" s="46"/>
      <c r="P184" s="46"/>
      <c r="Q184" s="46"/>
      <c r="R184" s="46"/>
      <c r="S184" s="46"/>
      <c r="T184" s="46"/>
      <c r="U184" s="46"/>
      <c r="V184" s="46"/>
    </row>
    <row r="185">
      <c r="A185" s="97"/>
      <c r="B185" s="59">
        <v>25.4</v>
      </c>
      <c r="C185" s="80" t="s">
        <v>287</v>
      </c>
      <c r="D185" s="61" t="s">
        <v>26</v>
      </c>
      <c r="E185" s="109" t="s">
        <v>288</v>
      </c>
      <c r="F185" s="46"/>
      <c r="G185" s="46"/>
      <c r="H185" s="46"/>
      <c r="I185" s="46"/>
      <c r="J185" s="46"/>
      <c r="K185" s="46"/>
      <c r="L185" s="46"/>
      <c r="M185" s="46"/>
      <c r="N185" s="46"/>
      <c r="O185" s="46"/>
      <c r="P185" s="46"/>
      <c r="Q185" s="46"/>
      <c r="R185" s="46"/>
      <c r="S185" s="46"/>
      <c r="T185" s="46"/>
      <c r="U185" s="46"/>
      <c r="V185" s="46"/>
    </row>
    <row r="186" ht="15.75" customHeight="1">
      <c r="A186" s="82" t="s">
        <v>289</v>
      </c>
      <c r="B186" s="85">
        <v>26.0</v>
      </c>
      <c r="C186" s="86" t="s">
        <v>290</v>
      </c>
      <c r="D186" s="67"/>
      <c r="E186" s="68"/>
      <c r="F186" s="46"/>
      <c r="G186" s="46"/>
      <c r="H186" s="46"/>
      <c r="I186" s="46"/>
      <c r="J186" s="46"/>
      <c r="K186" s="46"/>
      <c r="L186" s="46"/>
      <c r="M186" s="46"/>
      <c r="N186" s="46"/>
      <c r="O186" s="46"/>
      <c r="P186" s="46"/>
      <c r="Q186" s="46"/>
      <c r="R186" s="46"/>
      <c r="S186" s="46"/>
      <c r="T186" s="46"/>
      <c r="U186" s="46"/>
      <c r="V186" s="46"/>
    </row>
    <row r="187" ht="15.75" customHeight="1">
      <c r="B187" s="59">
        <v>26.1</v>
      </c>
      <c r="C187" s="88" t="s">
        <v>291</v>
      </c>
      <c r="D187" s="61" t="s">
        <v>26</v>
      </c>
      <c r="E187" s="74" t="s">
        <v>292</v>
      </c>
      <c r="F187" s="46"/>
      <c r="G187" s="46"/>
      <c r="H187" s="46"/>
      <c r="I187" s="46"/>
      <c r="J187" s="46"/>
      <c r="K187" s="46"/>
      <c r="L187" s="46"/>
      <c r="M187" s="46"/>
      <c r="N187" s="46"/>
      <c r="O187" s="46"/>
      <c r="P187" s="46"/>
      <c r="Q187" s="46"/>
      <c r="R187" s="46"/>
      <c r="S187" s="46"/>
      <c r="T187" s="46"/>
      <c r="U187" s="46"/>
      <c r="V187" s="46"/>
    </row>
    <row r="188" ht="16.5" customHeight="1">
      <c r="B188" s="59">
        <v>26.200000000000003</v>
      </c>
      <c r="C188" s="70" t="s">
        <v>293</v>
      </c>
      <c r="D188" s="61" t="s">
        <v>26</v>
      </c>
      <c r="E188" s="74" t="s">
        <v>294</v>
      </c>
      <c r="F188" s="46"/>
      <c r="G188" s="46"/>
      <c r="H188" s="46"/>
      <c r="I188" s="46"/>
      <c r="J188" s="46"/>
      <c r="K188" s="46"/>
      <c r="L188" s="46"/>
      <c r="M188" s="46"/>
      <c r="N188" s="46"/>
      <c r="O188" s="46"/>
      <c r="P188" s="46"/>
      <c r="Q188" s="46"/>
      <c r="R188" s="46"/>
      <c r="S188" s="46"/>
      <c r="T188" s="46"/>
      <c r="U188" s="46"/>
      <c r="V188" s="46"/>
    </row>
    <row r="189" ht="15.75" customHeight="1">
      <c r="B189" s="59">
        <v>26.300000000000004</v>
      </c>
      <c r="C189" s="70" t="s">
        <v>295</v>
      </c>
      <c r="D189" s="61" t="s">
        <v>26</v>
      </c>
      <c r="E189" s="74" t="s">
        <v>296</v>
      </c>
      <c r="F189" s="46"/>
      <c r="G189" s="46"/>
      <c r="H189" s="46"/>
      <c r="I189" s="46"/>
      <c r="J189" s="46"/>
      <c r="K189" s="46"/>
      <c r="L189" s="46"/>
      <c r="M189" s="46"/>
      <c r="N189" s="46"/>
      <c r="O189" s="46"/>
      <c r="P189" s="46"/>
      <c r="Q189" s="46"/>
      <c r="R189" s="46"/>
      <c r="S189" s="46"/>
      <c r="T189" s="46"/>
      <c r="U189" s="46"/>
      <c r="V189" s="46"/>
    </row>
    <row r="190" ht="15.75" customHeight="1">
      <c r="B190" s="59">
        <v>26.400000000000006</v>
      </c>
      <c r="C190" s="112" t="s">
        <v>297</v>
      </c>
      <c r="D190" s="61" t="s">
        <v>26</v>
      </c>
      <c r="E190" s="74" t="s">
        <v>298</v>
      </c>
      <c r="F190" s="46"/>
      <c r="G190" s="46"/>
      <c r="H190" s="46"/>
      <c r="I190" s="46"/>
      <c r="J190" s="46"/>
      <c r="K190" s="46"/>
      <c r="L190" s="46"/>
      <c r="M190" s="46"/>
      <c r="N190" s="46"/>
      <c r="O190" s="46"/>
      <c r="P190" s="46"/>
      <c r="Q190" s="46"/>
      <c r="R190" s="46"/>
      <c r="S190" s="46"/>
      <c r="T190" s="46"/>
      <c r="U190" s="46"/>
      <c r="V190" s="46"/>
    </row>
    <row r="191" ht="15.75" customHeight="1">
      <c r="B191" s="59">
        <v>26.500000000000007</v>
      </c>
      <c r="C191" s="112" t="s">
        <v>299</v>
      </c>
      <c r="D191" s="61" t="s">
        <v>26</v>
      </c>
      <c r="E191" s="74" t="s">
        <v>300</v>
      </c>
      <c r="F191" s="46"/>
      <c r="G191" s="46"/>
      <c r="H191" s="46"/>
      <c r="I191" s="46"/>
      <c r="J191" s="46"/>
      <c r="K191" s="46"/>
      <c r="L191" s="46"/>
      <c r="M191" s="46"/>
      <c r="N191" s="46"/>
      <c r="O191" s="46"/>
      <c r="P191" s="46"/>
      <c r="Q191" s="46"/>
      <c r="R191" s="46"/>
      <c r="S191" s="46"/>
      <c r="T191" s="46"/>
      <c r="U191" s="46"/>
      <c r="V191" s="46"/>
    </row>
    <row r="192" ht="30.75" customHeight="1">
      <c r="B192" s="59">
        <v>26.6</v>
      </c>
      <c r="C192" s="113" t="s">
        <v>301</v>
      </c>
      <c r="D192" s="61" t="s">
        <v>26</v>
      </c>
      <c r="E192" s="75" t="s">
        <v>302</v>
      </c>
      <c r="F192" s="46"/>
      <c r="G192" s="46"/>
      <c r="H192" s="46"/>
      <c r="I192" s="46"/>
      <c r="J192" s="46"/>
      <c r="K192" s="46"/>
      <c r="L192" s="46"/>
      <c r="M192" s="46"/>
      <c r="N192" s="46"/>
      <c r="O192" s="46"/>
      <c r="P192" s="46"/>
      <c r="Q192" s="46"/>
      <c r="R192" s="46"/>
      <c r="S192" s="46"/>
      <c r="T192" s="46"/>
      <c r="U192" s="46"/>
      <c r="V192" s="46"/>
    </row>
    <row r="193" ht="15.75" customHeight="1">
      <c r="B193" s="85">
        <v>27.0</v>
      </c>
      <c r="C193" s="86" t="s">
        <v>303</v>
      </c>
      <c r="D193" s="67"/>
      <c r="E193" s="68"/>
      <c r="F193" s="46"/>
      <c r="G193" s="46"/>
      <c r="H193" s="46"/>
      <c r="I193" s="46"/>
      <c r="J193" s="46"/>
      <c r="K193" s="46"/>
      <c r="L193" s="46"/>
      <c r="M193" s="46"/>
      <c r="N193" s="46"/>
      <c r="O193" s="46"/>
      <c r="P193" s="46"/>
      <c r="Q193" s="46"/>
      <c r="R193" s="46"/>
      <c r="S193" s="46"/>
      <c r="T193" s="46"/>
      <c r="U193" s="46"/>
      <c r="V193" s="46"/>
    </row>
    <row r="194" ht="17.25" customHeight="1">
      <c r="B194" s="59">
        <v>27.1</v>
      </c>
      <c r="C194" s="88" t="s">
        <v>304</v>
      </c>
      <c r="D194" s="61" t="s">
        <v>26</v>
      </c>
      <c r="E194" s="74" t="s">
        <v>305</v>
      </c>
      <c r="F194" s="46"/>
      <c r="G194" s="46"/>
      <c r="H194" s="46"/>
      <c r="I194" s="46"/>
      <c r="J194" s="46"/>
      <c r="K194" s="46"/>
      <c r="L194" s="46"/>
      <c r="M194" s="46"/>
      <c r="N194" s="46"/>
      <c r="O194" s="46"/>
      <c r="P194" s="46"/>
      <c r="Q194" s="46"/>
      <c r="R194" s="46"/>
      <c r="S194" s="46"/>
      <c r="T194" s="46"/>
      <c r="U194" s="46"/>
      <c r="V194" s="46"/>
    </row>
    <row r="195" ht="15.75" customHeight="1">
      <c r="B195" s="59">
        <v>27.200000000000003</v>
      </c>
      <c r="C195" s="88" t="s">
        <v>306</v>
      </c>
      <c r="D195" s="61" t="s">
        <v>26</v>
      </c>
      <c r="E195" s="74" t="s">
        <v>307</v>
      </c>
      <c r="F195" s="46"/>
      <c r="G195" s="46"/>
      <c r="H195" s="46"/>
      <c r="I195" s="46"/>
      <c r="J195" s="46"/>
      <c r="K195" s="46"/>
      <c r="L195" s="46"/>
      <c r="M195" s="46"/>
      <c r="N195" s="46"/>
      <c r="O195" s="46"/>
      <c r="P195" s="46"/>
      <c r="Q195" s="46"/>
      <c r="R195" s="46"/>
      <c r="S195" s="46"/>
      <c r="T195" s="46"/>
      <c r="U195" s="46"/>
      <c r="V195" s="46"/>
    </row>
    <row r="196" ht="15.75" customHeight="1">
      <c r="B196" s="59">
        <v>27.300000000000004</v>
      </c>
      <c r="C196" s="88" t="s">
        <v>308</v>
      </c>
      <c r="D196" s="61" t="s">
        <v>26</v>
      </c>
      <c r="E196" s="74" t="s">
        <v>309</v>
      </c>
      <c r="F196" s="46"/>
      <c r="G196" s="46"/>
      <c r="H196" s="46"/>
      <c r="I196" s="46"/>
      <c r="J196" s="46"/>
      <c r="K196" s="46"/>
      <c r="L196" s="46"/>
      <c r="M196" s="46"/>
      <c r="N196" s="46"/>
      <c r="O196" s="46"/>
      <c r="P196" s="46"/>
      <c r="Q196" s="46"/>
      <c r="R196" s="46"/>
      <c r="S196" s="46"/>
      <c r="T196" s="46"/>
      <c r="U196" s="46"/>
      <c r="V196" s="46"/>
    </row>
    <row r="197" ht="15.75" customHeight="1">
      <c r="B197" s="59">
        <v>27.400000000000006</v>
      </c>
      <c r="C197" s="92" t="s">
        <v>310</v>
      </c>
      <c r="D197" s="61" t="s">
        <v>26</v>
      </c>
      <c r="E197" s="75"/>
      <c r="F197" s="46"/>
      <c r="G197" s="46"/>
      <c r="H197" s="46"/>
      <c r="I197" s="46"/>
      <c r="J197" s="46"/>
      <c r="K197" s="46"/>
      <c r="L197" s="46"/>
      <c r="M197" s="46"/>
      <c r="N197" s="46"/>
      <c r="O197" s="46"/>
      <c r="P197" s="46"/>
      <c r="Q197" s="46"/>
      <c r="R197" s="46"/>
      <c r="S197" s="46"/>
      <c r="T197" s="46"/>
      <c r="U197" s="46"/>
      <c r="V197" s="46"/>
    </row>
    <row r="198" ht="15.75" customHeight="1">
      <c r="B198" s="59">
        <v>27.500000000000007</v>
      </c>
      <c r="C198" s="92" t="s">
        <v>311</v>
      </c>
      <c r="D198" s="61" t="s">
        <v>26</v>
      </c>
      <c r="E198" s="74" t="s">
        <v>312</v>
      </c>
      <c r="F198" s="46"/>
      <c r="G198" s="46"/>
      <c r="H198" s="46"/>
      <c r="I198" s="46"/>
      <c r="J198" s="46"/>
      <c r="K198" s="46"/>
      <c r="L198" s="46"/>
      <c r="M198" s="46"/>
      <c r="N198" s="46"/>
      <c r="O198" s="46"/>
      <c r="P198" s="46"/>
      <c r="Q198" s="46"/>
      <c r="R198" s="46"/>
      <c r="S198" s="46"/>
      <c r="T198" s="46"/>
      <c r="U198" s="46"/>
      <c r="V198" s="46"/>
    </row>
    <row r="199" ht="15.75" customHeight="1">
      <c r="B199" s="85">
        <v>28.0</v>
      </c>
      <c r="C199" s="86" t="s">
        <v>313</v>
      </c>
      <c r="D199" s="67"/>
      <c r="E199" s="68"/>
      <c r="F199" s="46"/>
      <c r="G199" s="46"/>
      <c r="H199" s="46"/>
      <c r="I199" s="46"/>
      <c r="J199" s="46"/>
      <c r="K199" s="46"/>
      <c r="L199" s="46"/>
      <c r="M199" s="46"/>
      <c r="N199" s="46"/>
      <c r="O199" s="46"/>
      <c r="P199" s="46"/>
      <c r="Q199" s="46"/>
      <c r="R199" s="46"/>
      <c r="S199" s="46"/>
      <c r="T199" s="46"/>
      <c r="U199" s="46"/>
      <c r="V199" s="46"/>
    </row>
    <row r="200" ht="15.75" customHeight="1">
      <c r="B200" s="59">
        <v>28.1</v>
      </c>
      <c r="C200" s="88" t="s">
        <v>314</v>
      </c>
      <c r="D200" s="61" t="s">
        <v>26</v>
      </c>
      <c r="E200" s="74" t="s">
        <v>315</v>
      </c>
      <c r="F200" s="46"/>
      <c r="G200" s="46"/>
      <c r="H200" s="46"/>
      <c r="I200" s="46"/>
      <c r="J200" s="46"/>
      <c r="K200" s="46"/>
      <c r="L200" s="46"/>
      <c r="M200" s="46"/>
      <c r="N200" s="46"/>
      <c r="O200" s="46"/>
      <c r="P200" s="46"/>
      <c r="Q200" s="46"/>
      <c r="R200" s="46"/>
      <c r="S200" s="46"/>
      <c r="T200" s="46"/>
      <c r="U200" s="46"/>
      <c r="V200" s="46"/>
    </row>
    <row r="201" ht="15.75" customHeight="1">
      <c r="B201" s="59">
        <v>28.200000000000003</v>
      </c>
      <c r="C201" s="114" t="s">
        <v>316</v>
      </c>
      <c r="D201" s="61" t="s">
        <v>26</v>
      </c>
      <c r="E201" s="74" t="s">
        <v>315</v>
      </c>
      <c r="F201" s="46"/>
      <c r="G201" s="46"/>
      <c r="H201" s="46"/>
      <c r="I201" s="46"/>
      <c r="J201" s="46"/>
      <c r="K201" s="46"/>
      <c r="L201" s="46"/>
      <c r="M201" s="46"/>
      <c r="N201" s="46"/>
      <c r="O201" s="46"/>
      <c r="P201" s="46"/>
      <c r="Q201" s="46"/>
      <c r="R201" s="46"/>
      <c r="S201" s="46"/>
      <c r="T201" s="46"/>
      <c r="U201" s="46"/>
      <c r="V201" s="46"/>
    </row>
    <row r="202" ht="15.75" customHeight="1">
      <c r="B202" s="59">
        <v>28.300000000000004</v>
      </c>
      <c r="C202" s="115" t="s">
        <v>317</v>
      </c>
      <c r="D202" s="61" t="s">
        <v>26</v>
      </c>
      <c r="E202" s="74" t="s">
        <v>315</v>
      </c>
      <c r="F202" s="46"/>
      <c r="G202" s="46"/>
      <c r="H202" s="46"/>
      <c r="I202" s="46"/>
      <c r="J202" s="46"/>
      <c r="K202" s="46"/>
      <c r="L202" s="46"/>
      <c r="M202" s="46"/>
      <c r="N202" s="46"/>
      <c r="O202" s="46"/>
      <c r="P202" s="46"/>
      <c r="Q202" s="46"/>
      <c r="R202" s="46"/>
      <c r="S202" s="46"/>
      <c r="T202" s="46"/>
      <c r="U202" s="46"/>
      <c r="V202" s="46"/>
    </row>
    <row r="203" ht="15.75" customHeight="1">
      <c r="B203" s="59">
        <v>28.400000000000006</v>
      </c>
      <c r="C203" s="70" t="s">
        <v>318</v>
      </c>
      <c r="D203" s="61" t="s">
        <v>26</v>
      </c>
      <c r="E203" s="74" t="s">
        <v>319</v>
      </c>
      <c r="F203" s="46"/>
      <c r="G203" s="46"/>
      <c r="H203" s="46"/>
      <c r="I203" s="46"/>
      <c r="J203" s="46"/>
      <c r="K203" s="46"/>
      <c r="L203" s="46"/>
      <c r="M203" s="46"/>
      <c r="N203" s="46"/>
      <c r="O203" s="46"/>
      <c r="P203" s="46"/>
      <c r="Q203" s="46"/>
      <c r="R203" s="46"/>
      <c r="S203" s="46"/>
      <c r="T203" s="46"/>
      <c r="U203" s="46"/>
      <c r="V203" s="46"/>
    </row>
    <row r="204" ht="18.75" customHeight="1">
      <c r="B204" s="59">
        <v>28.500000000000007</v>
      </c>
      <c r="C204" s="116" t="s">
        <v>320</v>
      </c>
      <c r="D204" s="61" t="s">
        <v>26</v>
      </c>
      <c r="E204" s="65" t="s">
        <v>40</v>
      </c>
      <c r="F204" s="46"/>
      <c r="G204" s="46"/>
      <c r="H204" s="46"/>
      <c r="I204" s="46"/>
      <c r="J204" s="46"/>
      <c r="K204" s="46"/>
      <c r="L204" s="46"/>
      <c r="M204" s="46"/>
      <c r="N204" s="46"/>
      <c r="O204" s="46"/>
      <c r="P204" s="46"/>
      <c r="Q204" s="46"/>
      <c r="R204" s="46"/>
      <c r="S204" s="46"/>
      <c r="T204" s="46"/>
      <c r="U204" s="46"/>
      <c r="V204" s="46"/>
    </row>
    <row r="205" ht="15.75" customHeight="1">
      <c r="A205" s="97" t="s">
        <v>321</v>
      </c>
      <c r="B205" s="85">
        <v>29.0</v>
      </c>
      <c r="C205" s="86" t="s">
        <v>322</v>
      </c>
      <c r="D205" s="67"/>
      <c r="E205" s="68"/>
      <c r="F205" s="46"/>
      <c r="G205" s="46"/>
      <c r="H205" s="46"/>
      <c r="I205" s="46"/>
      <c r="J205" s="46"/>
      <c r="K205" s="46"/>
      <c r="L205" s="46"/>
      <c r="M205" s="46"/>
      <c r="N205" s="46"/>
      <c r="O205" s="46"/>
      <c r="P205" s="46"/>
      <c r="Q205" s="46"/>
      <c r="R205" s="46"/>
      <c r="S205" s="46"/>
      <c r="T205" s="46"/>
      <c r="U205" s="46"/>
      <c r="V205" s="46"/>
    </row>
    <row r="206" ht="15.75" customHeight="1">
      <c r="B206" s="59">
        <v>29.1</v>
      </c>
      <c r="C206" s="88" t="s">
        <v>323</v>
      </c>
      <c r="D206" s="61" t="s">
        <v>26</v>
      </c>
      <c r="E206" s="74" t="s">
        <v>324</v>
      </c>
      <c r="F206" s="46"/>
      <c r="G206" s="46"/>
      <c r="H206" s="46"/>
      <c r="I206" s="46"/>
      <c r="J206" s="46"/>
      <c r="K206" s="46"/>
      <c r="L206" s="46"/>
      <c r="M206" s="46"/>
      <c r="N206" s="46"/>
      <c r="O206" s="46"/>
      <c r="P206" s="46"/>
      <c r="Q206" s="46"/>
      <c r="R206" s="46"/>
      <c r="S206" s="46"/>
      <c r="T206" s="46"/>
      <c r="U206" s="46"/>
      <c r="V206" s="46"/>
    </row>
    <row r="207" ht="15.75" customHeight="1">
      <c r="B207" s="59">
        <v>29.200000000000003</v>
      </c>
      <c r="C207" s="92" t="s">
        <v>325</v>
      </c>
      <c r="D207" s="61" t="s">
        <v>26</v>
      </c>
      <c r="E207" s="74" t="s">
        <v>324</v>
      </c>
      <c r="F207" s="46"/>
      <c r="G207" s="46"/>
      <c r="H207" s="46"/>
      <c r="I207" s="46"/>
      <c r="J207" s="46"/>
      <c r="K207" s="46"/>
      <c r="L207" s="46"/>
      <c r="M207" s="46"/>
      <c r="N207" s="46"/>
      <c r="O207" s="46"/>
      <c r="P207" s="46"/>
      <c r="Q207" s="46"/>
      <c r="R207" s="46"/>
      <c r="S207" s="46"/>
      <c r="T207" s="46"/>
      <c r="U207" s="46"/>
      <c r="V207" s="46"/>
    </row>
    <row r="208" ht="15.75" customHeight="1">
      <c r="B208" s="59">
        <v>29.300000000000004</v>
      </c>
      <c r="C208" s="88" t="s">
        <v>326</v>
      </c>
      <c r="D208" s="61" t="s">
        <v>26</v>
      </c>
      <c r="E208" s="74" t="s">
        <v>324</v>
      </c>
      <c r="F208" s="46"/>
      <c r="G208" s="46"/>
      <c r="H208" s="46"/>
      <c r="I208" s="46"/>
      <c r="J208" s="46"/>
      <c r="K208" s="46"/>
      <c r="L208" s="46"/>
      <c r="M208" s="46"/>
      <c r="N208" s="46"/>
      <c r="O208" s="46"/>
      <c r="P208" s="46"/>
      <c r="Q208" s="46"/>
      <c r="R208" s="46"/>
      <c r="S208" s="46"/>
      <c r="T208" s="46"/>
      <c r="U208" s="46"/>
      <c r="V208" s="46"/>
    </row>
    <row r="209" ht="17.25" customHeight="1">
      <c r="B209" s="59">
        <v>29.400000000000006</v>
      </c>
      <c r="C209" s="89" t="s">
        <v>327</v>
      </c>
      <c r="D209" s="61" t="s">
        <v>39</v>
      </c>
      <c r="E209" s="65" t="s">
        <v>40</v>
      </c>
      <c r="F209" s="46"/>
      <c r="G209" s="46"/>
      <c r="H209" s="46"/>
      <c r="I209" s="46"/>
      <c r="J209" s="46"/>
      <c r="K209" s="46"/>
      <c r="L209" s="46"/>
      <c r="M209" s="46"/>
      <c r="N209" s="46"/>
      <c r="O209" s="46"/>
      <c r="P209" s="46"/>
      <c r="Q209" s="46"/>
      <c r="R209" s="46"/>
      <c r="S209" s="46"/>
      <c r="T209" s="46"/>
      <c r="U209" s="46"/>
      <c r="V209" s="46"/>
    </row>
    <row r="210" ht="15.75" customHeight="1">
      <c r="A210" s="82" t="s">
        <v>6</v>
      </c>
      <c r="B210" s="85">
        <v>30.0</v>
      </c>
      <c r="C210" s="86" t="s">
        <v>328</v>
      </c>
      <c r="D210" s="67"/>
      <c r="E210" s="68"/>
      <c r="F210" s="46"/>
      <c r="G210" s="46"/>
      <c r="H210" s="46"/>
      <c r="I210" s="46"/>
      <c r="J210" s="46"/>
      <c r="K210" s="46"/>
      <c r="L210" s="46"/>
      <c r="M210" s="46"/>
      <c r="N210" s="46"/>
      <c r="O210" s="46"/>
      <c r="P210" s="46"/>
      <c r="Q210" s="46"/>
      <c r="R210" s="46"/>
      <c r="S210" s="46"/>
      <c r="T210" s="46"/>
      <c r="U210" s="46"/>
      <c r="V210" s="46"/>
    </row>
    <row r="211" ht="15.75" customHeight="1">
      <c r="B211" s="59">
        <v>30.1</v>
      </c>
      <c r="C211" s="89" t="s">
        <v>329</v>
      </c>
      <c r="D211" s="61" t="s">
        <v>39</v>
      </c>
      <c r="E211" s="65" t="s">
        <v>40</v>
      </c>
      <c r="F211" s="46"/>
      <c r="G211" s="46"/>
      <c r="H211" s="46"/>
      <c r="I211" s="46"/>
      <c r="J211" s="46"/>
      <c r="K211" s="46"/>
      <c r="L211" s="46"/>
      <c r="M211" s="46"/>
      <c r="N211" s="46"/>
      <c r="O211" s="46"/>
      <c r="P211" s="46"/>
      <c r="Q211" s="46"/>
      <c r="R211" s="46"/>
      <c r="S211" s="46"/>
      <c r="T211" s="46"/>
      <c r="U211" s="46"/>
      <c r="V211" s="46"/>
    </row>
    <row r="212" ht="15.75" customHeight="1">
      <c r="B212" s="59">
        <v>30.300000000000004</v>
      </c>
      <c r="C212" s="89" t="s">
        <v>330</v>
      </c>
      <c r="D212" s="61" t="s">
        <v>39</v>
      </c>
      <c r="E212" s="65" t="s">
        <v>40</v>
      </c>
      <c r="F212" s="46"/>
      <c r="G212" s="46"/>
      <c r="H212" s="46"/>
      <c r="I212" s="46"/>
      <c r="J212" s="46"/>
      <c r="K212" s="46"/>
      <c r="L212" s="46"/>
      <c r="M212" s="46"/>
      <c r="N212" s="46"/>
      <c r="O212" s="46"/>
      <c r="P212" s="46"/>
      <c r="Q212" s="46"/>
      <c r="R212" s="46"/>
      <c r="S212" s="46"/>
      <c r="T212" s="46"/>
      <c r="U212" s="46"/>
      <c r="V212" s="46"/>
    </row>
    <row r="213" ht="15.75" customHeight="1">
      <c r="B213" s="59">
        <v>30.400000000000006</v>
      </c>
      <c r="C213" s="90" t="s">
        <v>331</v>
      </c>
      <c r="D213" s="61" t="s">
        <v>39</v>
      </c>
      <c r="E213" s="62"/>
      <c r="F213" s="46"/>
      <c r="G213" s="46"/>
      <c r="H213" s="46"/>
      <c r="I213" s="46"/>
      <c r="J213" s="46"/>
      <c r="K213" s="46"/>
      <c r="L213" s="46"/>
      <c r="M213" s="46"/>
      <c r="N213" s="46"/>
      <c r="O213" s="46"/>
      <c r="P213" s="46"/>
      <c r="Q213" s="46"/>
      <c r="R213" s="46"/>
      <c r="S213" s="46"/>
      <c r="T213" s="46"/>
      <c r="U213" s="46"/>
      <c r="V213" s="46"/>
    </row>
    <row r="214" ht="15.75" customHeight="1">
      <c r="A214" s="97" t="s">
        <v>332</v>
      </c>
      <c r="B214" s="85">
        <v>31.0</v>
      </c>
      <c r="C214" s="66" t="s">
        <v>333</v>
      </c>
      <c r="D214" s="67"/>
      <c r="E214" s="68"/>
      <c r="F214" s="46"/>
      <c r="G214" s="46"/>
      <c r="H214" s="46"/>
      <c r="I214" s="46"/>
      <c r="J214" s="46"/>
      <c r="K214" s="46"/>
      <c r="L214" s="46"/>
      <c r="M214" s="46"/>
      <c r="N214" s="46"/>
      <c r="O214" s="46"/>
      <c r="P214" s="46"/>
      <c r="Q214" s="46"/>
      <c r="R214" s="46"/>
      <c r="S214" s="46"/>
      <c r="T214" s="46"/>
      <c r="U214" s="46"/>
      <c r="V214" s="46"/>
    </row>
    <row r="215" ht="15.75" customHeight="1">
      <c r="B215" s="59">
        <v>31.1</v>
      </c>
      <c r="C215" s="70" t="s">
        <v>334</v>
      </c>
      <c r="D215" s="61" t="s">
        <v>26</v>
      </c>
      <c r="E215" s="117" t="s">
        <v>335</v>
      </c>
      <c r="F215" s="46"/>
      <c r="G215" s="46"/>
      <c r="H215" s="46"/>
      <c r="I215" s="46"/>
      <c r="J215" s="46"/>
      <c r="K215" s="46"/>
      <c r="L215" s="46"/>
      <c r="M215" s="46"/>
      <c r="N215" s="46"/>
      <c r="O215" s="46"/>
      <c r="P215" s="46"/>
      <c r="Q215" s="46"/>
      <c r="R215" s="46"/>
      <c r="S215" s="46"/>
      <c r="T215" s="46"/>
      <c r="U215" s="46"/>
      <c r="V215" s="46"/>
    </row>
    <row r="216" ht="15.75" customHeight="1">
      <c r="B216" s="59">
        <v>31.2</v>
      </c>
      <c r="C216" s="70" t="s">
        <v>336</v>
      </c>
      <c r="D216" s="61" t="s">
        <v>26</v>
      </c>
      <c r="E216" s="74" t="s">
        <v>337</v>
      </c>
      <c r="F216" s="46"/>
      <c r="G216" s="46"/>
      <c r="H216" s="46"/>
      <c r="I216" s="46"/>
      <c r="J216" s="46"/>
      <c r="K216" s="46"/>
      <c r="L216" s="46"/>
      <c r="M216" s="46"/>
      <c r="N216" s="46"/>
      <c r="O216" s="46"/>
      <c r="P216" s="46"/>
      <c r="Q216" s="46"/>
      <c r="R216" s="46"/>
      <c r="S216" s="46"/>
      <c r="T216" s="46"/>
      <c r="U216" s="46"/>
      <c r="V216" s="46"/>
    </row>
    <row r="217" ht="15.75" customHeight="1">
      <c r="B217" s="59">
        <v>31.3</v>
      </c>
      <c r="C217" s="70" t="s">
        <v>338</v>
      </c>
      <c r="D217" s="61" t="s">
        <v>26</v>
      </c>
      <c r="E217" s="74" t="s">
        <v>337</v>
      </c>
      <c r="F217" s="46"/>
      <c r="G217" s="46"/>
      <c r="H217" s="46"/>
      <c r="I217" s="46"/>
      <c r="J217" s="46"/>
      <c r="K217" s="46"/>
      <c r="L217" s="46"/>
      <c r="M217" s="46"/>
      <c r="N217" s="46"/>
      <c r="O217" s="46"/>
      <c r="P217" s="46"/>
      <c r="Q217" s="46"/>
      <c r="R217" s="46"/>
      <c r="S217" s="46"/>
      <c r="T217" s="46"/>
      <c r="U217" s="46"/>
      <c r="V217" s="46"/>
    </row>
    <row r="218" ht="15.75" customHeight="1">
      <c r="A218" s="82" t="s">
        <v>339</v>
      </c>
      <c r="B218" s="85">
        <v>32.0</v>
      </c>
      <c r="C218" s="66" t="s">
        <v>340</v>
      </c>
      <c r="D218" s="67"/>
      <c r="E218" s="68"/>
      <c r="F218" s="46"/>
      <c r="G218" s="46"/>
      <c r="H218" s="46"/>
      <c r="I218" s="46"/>
      <c r="J218" s="46"/>
      <c r="K218" s="46"/>
      <c r="L218" s="46"/>
      <c r="M218" s="46"/>
      <c r="N218" s="46"/>
      <c r="O218" s="46"/>
      <c r="P218" s="46"/>
      <c r="Q218" s="46"/>
      <c r="R218" s="46"/>
      <c r="S218" s="46"/>
      <c r="T218" s="46"/>
      <c r="U218" s="46"/>
      <c r="V218" s="46"/>
    </row>
    <row r="219" ht="15.75" customHeight="1">
      <c r="B219" s="59">
        <v>32.1</v>
      </c>
      <c r="C219" s="70" t="s">
        <v>341</v>
      </c>
      <c r="D219" s="61" t="s">
        <v>26</v>
      </c>
      <c r="E219" s="118" t="s">
        <v>342</v>
      </c>
      <c r="F219" s="46"/>
      <c r="G219" s="46"/>
      <c r="H219" s="46"/>
      <c r="I219" s="46"/>
      <c r="J219" s="46"/>
      <c r="K219" s="46"/>
      <c r="L219" s="46"/>
      <c r="M219" s="46"/>
      <c r="N219" s="46"/>
      <c r="O219" s="46"/>
      <c r="P219" s="46"/>
      <c r="Q219" s="46"/>
      <c r="R219" s="46"/>
      <c r="S219" s="46"/>
      <c r="T219" s="46"/>
      <c r="U219" s="46"/>
      <c r="V219" s="46"/>
    </row>
    <row r="220" ht="15.75" customHeight="1">
      <c r="B220" s="59">
        <v>32.2</v>
      </c>
      <c r="C220" s="70" t="s">
        <v>343</v>
      </c>
      <c r="D220" s="61" t="s">
        <v>26</v>
      </c>
      <c r="E220" s="117" t="s">
        <v>344</v>
      </c>
      <c r="F220" s="46"/>
      <c r="G220" s="46"/>
      <c r="H220" s="46"/>
      <c r="I220" s="46"/>
      <c r="J220" s="46"/>
      <c r="K220" s="46"/>
      <c r="L220" s="46"/>
      <c r="M220" s="46"/>
      <c r="N220" s="46"/>
      <c r="O220" s="46"/>
      <c r="P220" s="46"/>
      <c r="Q220" s="46"/>
      <c r="R220" s="46"/>
      <c r="S220" s="46"/>
      <c r="T220" s="46"/>
      <c r="U220" s="46"/>
      <c r="V220" s="46"/>
    </row>
    <row r="221" ht="15.75" customHeight="1">
      <c r="B221" s="59">
        <v>32.300000000000004</v>
      </c>
      <c r="C221" s="70" t="s">
        <v>345</v>
      </c>
      <c r="D221" s="61" t="s">
        <v>26</v>
      </c>
      <c r="E221" s="75" t="s">
        <v>346</v>
      </c>
      <c r="F221" s="46"/>
      <c r="G221" s="46"/>
      <c r="H221" s="46"/>
      <c r="I221" s="46"/>
      <c r="J221" s="46"/>
      <c r="K221" s="46"/>
      <c r="L221" s="46"/>
      <c r="M221" s="46"/>
      <c r="N221" s="46"/>
      <c r="O221" s="46"/>
      <c r="P221" s="46"/>
      <c r="Q221" s="46"/>
      <c r="R221" s="46"/>
      <c r="S221" s="46"/>
      <c r="T221" s="46"/>
      <c r="U221" s="46"/>
      <c r="V221" s="46"/>
    </row>
    <row r="222" ht="15.75" customHeight="1">
      <c r="B222" s="59">
        <v>32.400000000000006</v>
      </c>
      <c r="C222" s="70" t="s">
        <v>347</v>
      </c>
      <c r="D222" s="61" t="s">
        <v>26</v>
      </c>
      <c r="E222" s="75" t="s">
        <v>348</v>
      </c>
      <c r="F222" s="46"/>
      <c r="G222" s="46"/>
      <c r="H222" s="46"/>
      <c r="I222" s="46"/>
      <c r="J222" s="46"/>
      <c r="K222" s="46"/>
      <c r="L222" s="46"/>
      <c r="M222" s="46"/>
      <c r="N222" s="46"/>
      <c r="O222" s="46"/>
      <c r="P222" s="46"/>
      <c r="Q222" s="46"/>
      <c r="R222" s="46"/>
      <c r="S222" s="46"/>
      <c r="T222" s="46"/>
      <c r="U222" s="46"/>
      <c r="V222" s="46"/>
    </row>
    <row r="223" ht="15.75" customHeight="1">
      <c r="B223" s="59">
        <v>32.50000000000001</v>
      </c>
      <c r="C223" s="70" t="s">
        <v>349</v>
      </c>
      <c r="D223" s="61" t="s">
        <v>26</v>
      </c>
      <c r="E223" s="75" t="s">
        <v>350</v>
      </c>
      <c r="F223" s="46"/>
      <c r="G223" s="46"/>
      <c r="H223" s="46"/>
      <c r="I223" s="46"/>
      <c r="J223" s="46"/>
      <c r="K223" s="46"/>
      <c r="L223" s="46"/>
      <c r="M223" s="46"/>
      <c r="N223" s="46"/>
      <c r="O223" s="46"/>
      <c r="P223" s="46"/>
      <c r="Q223" s="46"/>
      <c r="R223" s="46"/>
      <c r="S223" s="46"/>
      <c r="T223" s="46"/>
      <c r="U223" s="46"/>
      <c r="V223" s="46"/>
    </row>
    <row r="224" ht="15.75" customHeight="1">
      <c r="B224" s="59">
        <v>32.60000000000001</v>
      </c>
      <c r="C224" s="70" t="s">
        <v>351</v>
      </c>
      <c r="D224" s="61" t="s">
        <v>26</v>
      </c>
      <c r="E224" s="75" t="s">
        <v>352</v>
      </c>
      <c r="F224" s="46"/>
      <c r="G224" s="46"/>
      <c r="H224" s="46"/>
      <c r="I224" s="46"/>
      <c r="J224" s="46"/>
      <c r="K224" s="46"/>
      <c r="L224" s="46"/>
      <c r="M224" s="46"/>
      <c r="N224" s="46"/>
      <c r="O224" s="46"/>
      <c r="P224" s="46"/>
      <c r="Q224" s="46"/>
      <c r="R224" s="46"/>
      <c r="S224" s="46"/>
      <c r="T224" s="46"/>
      <c r="U224" s="46"/>
      <c r="V224" s="46"/>
    </row>
    <row r="225" ht="15.75" customHeight="1">
      <c r="B225" s="59">
        <v>32.70000000000001</v>
      </c>
      <c r="C225" s="70" t="s">
        <v>353</v>
      </c>
      <c r="D225" s="61" t="s">
        <v>26</v>
      </c>
      <c r="E225" s="75" t="s">
        <v>354</v>
      </c>
      <c r="F225" s="46"/>
      <c r="G225" s="46"/>
      <c r="H225" s="46"/>
      <c r="I225" s="46"/>
      <c r="J225" s="46"/>
      <c r="K225" s="46"/>
      <c r="L225" s="46"/>
      <c r="M225" s="46"/>
      <c r="N225" s="46"/>
      <c r="O225" s="46"/>
      <c r="P225" s="46"/>
      <c r="Q225" s="46"/>
      <c r="R225" s="46"/>
      <c r="S225" s="46"/>
      <c r="T225" s="46"/>
      <c r="U225" s="46"/>
      <c r="V225" s="46"/>
    </row>
    <row r="226" ht="15.75" customHeight="1">
      <c r="B226" s="59">
        <v>32.8</v>
      </c>
      <c r="C226" s="115" t="s">
        <v>355</v>
      </c>
      <c r="D226" s="61" t="s">
        <v>26</v>
      </c>
      <c r="E226" s="75" t="s">
        <v>356</v>
      </c>
      <c r="F226" s="46"/>
      <c r="G226" s="46"/>
      <c r="H226" s="46"/>
      <c r="I226" s="46"/>
      <c r="J226" s="46"/>
      <c r="K226" s="46"/>
      <c r="L226" s="46"/>
      <c r="M226" s="46"/>
      <c r="N226" s="46"/>
      <c r="O226" s="46"/>
      <c r="P226" s="46"/>
      <c r="Q226" s="46"/>
      <c r="R226" s="46"/>
      <c r="S226" s="46"/>
      <c r="T226" s="46"/>
      <c r="U226" s="46"/>
      <c r="V226" s="46"/>
    </row>
    <row r="227" ht="15.75" customHeight="1">
      <c r="A227" s="46"/>
      <c r="B227" s="119"/>
      <c r="C227" s="46"/>
      <c r="D227" s="120"/>
      <c r="E227" s="62"/>
      <c r="F227" s="46"/>
      <c r="G227" s="46"/>
      <c r="H227" s="46"/>
      <c r="I227" s="46"/>
      <c r="J227" s="46"/>
      <c r="K227" s="46"/>
      <c r="L227" s="46"/>
      <c r="M227" s="46"/>
      <c r="N227" s="46"/>
      <c r="O227" s="46"/>
      <c r="P227" s="46"/>
      <c r="Q227" s="46"/>
      <c r="R227" s="46"/>
      <c r="S227" s="46"/>
      <c r="T227" s="46"/>
      <c r="U227" s="46"/>
      <c r="V227" s="46"/>
    </row>
    <row r="228" ht="15.75" customHeight="1">
      <c r="A228" s="46"/>
      <c r="B228" s="119"/>
      <c r="C228" s="46"/>
      <c r="D228" s="120"/>
      <c r="E228" s="62"/>
      <c r="F228" s="46"/>
      <c r="G228" s="46"/>
      <c r="H228" s="46"/>
      <c r="I228" s="46"/>
      <c r="J228" s="46"/>
      <c r="K228" s="46"/>
      <c r="L228" s="46"/>
      <c r="M228" s="46"/>
      <c r="N228" s="46"/>
      <c r="O228" s="46"/>
      <c r="P228" s="46"/>
      <c r="Q228" s="46"/>
      <c r="R228" s="46"/>
      <c r="S228" s="46"/>
      <c r="T228" s="46"/>
      <c r="U228" s="46"/>
      <c r="V228" s="46"/>
    </row>
    <row r="229" ht="15.75" customHeight="1">
      <c r="A229" s="46"/>
      <c r="B229" s="119"/>
      <c r="C229" s="46"/>
      <c r="D229" s="120"/>
      <c r="E229" s="62"/>
      <c r="F229" s="46"/>
      <c r="G229" s="46"/>
      <c r="H229" s="46"/>
      <c r="I229" s="46"/>
      <c r="J229" s="46"/>
      <c r="K229" s="46"/>
      <c r="L229" s="46"/>
      <c r="M229" s="46"/>
      <c r="N229" s="46"/>
      <c r="O229" s="46"/>
      <c r="P229" s="46"/>
      <c r="Q229" s="46"/>
      <c r="R229" s="46"/>
      <c r="S229" s="46"/>
      <c r="T229" s="46"/>
      <c r="U229" s="46"/>
      <c r="V229" s="46"/>
    </row>
    <row r="230" ht="15.75" customHeight="1">
      <c r="A230" s="46"/>
      <c r="B230" s="119"/>
      <c r="C230" s="46"/>
      <c r="D230" s="120"/>
      <c r="E230" s="62"/>
      <c r="F230" s="46"/>
      <c r="G230" s="46"/>
      <c r="H230" s="46"/>
      <c r="I230" s="46"/>
      <c r="J230" s="46"/>
      <c r="K230" s="46"/>
      <c r="L230" s="46"/>
      <c r="M230" s="46"/>
      <c r="N230" s="46"/>
      <c r="O230" s="46"/>
      <c r="P230" s="46"/>
      <c r="Q230" s="46"/>
      <c r="R230" s="46"/>
      <c r="S230" s="46"/>
      <c r="T230" s="46"/>
      <c r="U230" s="46"/>
      <c r="V230" s="46"/>
    </row>
    <row r="231" ht="15.75" customHeight="1">
      <c r="A231" s="46"/>
      <c r="B231" s="119"/>
      <c r="C231" s="46"/>
      <c r="D231" s="120"/>
      <c r="E231" s="62"/>
      <c r="F231" s="46"/>
      <c r="G231" s="46"/>
      <c r="H231" s="46"/>
      <c r="I231" s="46"/>
      <c r="J231" s="46"/>
      <c r="K231" s="46"/>
      <c r="L231" s="46"/>
      <c r="M231" s="46"/>
      <c r="N231" s="46"/>
      <c r="O231" s="46"/>
      <c r="P231" s="46"/>
      <c r="Q231" s="46"/>
      <c r="R231" s="46"/>
      <c r="S231" s="46"/>
      <c r="T231" s="46"/>
      <c r="U231" s="46"/>
      <c r="V231" s="46"/>
    </row>
    <row r="232" ht="15.75" customHeight="1">
      <c r="A232" s="46"/>
      <c r="B232" s="119"/>
      <c r="C232" s="46"/>
      <c r="D232" s="120"/>
      <c r="E232" s="62"/>
      <c r="F232" s="46"/>
      <c r="G232" s="46"/>
      <c r="H232" s="46"/>
      <c r="I232" s="46"/>
      <c r="J232" s="46"/>
      <c r="K232" s="46"/>
      <c r="L232" s="46"/>
      <c r="M232" s="46"/>
      <c r="N232" s="46"/>
      <c r="O232" s="46"/>
      <c r="P232" s="46"/>
      <c r="Q232" s="46"/>
      <c r="R232" s="46"/>
      <c r="S232" s="46"/>
      <c r="T232" s="46"/>
      <c r="U232" s="46"/>
      <c r="V232" s="46"/>
    </row>
    <row r="233" ht="15.75" customHeight="1">
      <c r="A233" s="46"/>
      <c r="B233" s="119"/>
      <c r="C233" s="46"/>
      <c r="D233" s="120"/>
      <c r="E233" s="62"/>
      <c r="F233" s="46"/>
      <c r="G233" s="46"/>
      <c r="H233" s="46"/>
      <c r="I233" s="46"/>
      <c r="J233" s="46"/>
      <c r="K233" s="46"/>
      <c r="L233" s="46"/>
      <c r="M233" s="46"/>
      <c r="N233" s="46"/>
      <c r="O233" s="46"/>
      <c r="P233" s="46"/>
      <c r="Q233" s="46"/>
      <c r="R233" s="46"/>
      <c r="S233" s="46"/>
      <c r="T233" s="46"/>
      <c r="U233" s="46"/>
      <c r="V233" s="46"/>
    </row>
    <row r="234" ht="15.75" customHeight="1">
      <c r="A234" s="46"/>
      <c r="B234" s="119"/>
      <c r="C234" s="46"/>
      <c r="D234" s="120"/>
      <c r="E234" s="62"/>
      <c r="F234" s="46"/>
      <c r="G234" s="46"/>
      <c r="H234" s="46"/>
      <c r="I234" s="46"/>
      <c r="J234" s="46"/>
      <c r="K234" s="46"/>
      <c r="L234" s="46"/>
      <c r="M234" s="46"/>
      <c r="N234" s="46"/>
      <c r="O234" s="46"/>
      <c r="P234" s="46"/>
      <c r="Q234" s="46"/>
      <c r="R234" s="46"/>
      <c r="S234" s="46"/>
      <c r="T234" s="46"/>
      <c r="U234" s="46"/>
      <c r="V234" s="46"/>
    </row>
    <row r="235" ht="15.75" customHeight="1">
      <c r="A235" s="46"/>
      <c r="B235" s="119"/>
      <c r="C235" s="46"/>
      <c r="D235" s="120"/>
      <c r="E235" s="62"/>
      <c r="F235" s="46"/>
      <c r="G235" s="46"/>
      <c r="H235" s="46"/>
      <c r="I235" s="46"/>
      <c r="J235" s="46"/>
      <c r="K235" s="46"/>
      <c r="L235" s="46"/>
      <c r="M235" s="46"/>
      <c r="N235" s="46"/>
      <c r="O235" s="46"/>
      <c r="P235" s="46"/>
      <c r="Q235" s="46"/>
      <c r="R235" s="46"/>
      <c r="S235" s="46"/>
      <c r="T235" s="46"/>
      <c r="U235" s="46"/>
      <c r="V235" s="46"/>
    </row>
    <row r="236" ht="15.75" customHeight="1">
      <c r="A236" s="46"/>
      <c r="B236" s="119"/>
      <c r="C236" s="46"/>
      <c r="D236" s="120"/>
      <c r="E236" s="62"/>
      <c r="F236" s="46"/>
      <c r="G236" s="46"/>
      <c r="H236" s="46"/>
      <c r="I236" s="46"/>
      <c r="J236" s="46"/>
      <c r="K236" s="46"/>
      <c r="L236" s="46"/>
      <c r="M236" s="46"/>
      <c r="N236" s="46"/>
      <c r="O236" s="46"/>
      <c r="P236" s="46"/>
      <c r="Q236" s="46"/>
      <c r="R236" s="46"/>
      <c r="S236" s="46"/>
      <c r="T236" s="46"/>
      <c r="U236" s="46"/>
      <c r="V236" s="46"/>
    </row>
    <row r="237" ht="15.75" customHeight="1">
      <c r="A237" s="46"/>
      <c r="B237" s="119"/>
      <c r="C237" s="46"/>
      <c r="D237" s="120"/>
      <c r="E237" s="62"/>
      <c r="F237" s="46"/>
      <c r="G237" s="46"/>
      <c r="H237" s="46"/>
      <c r="I237" s="46"/>
      <c r="J237" s="46"/>
      <c r="K237" s="46"/>
      <c r="L237" s="46"/>
      <c r="M237" s="46"/>
      <c r="N237" s="46"/>
      <c r="O237" s="46"/>
      <c r="P237" s="46"/>
      <c r="Q237" s="46"/>
      <c r="R237" s="46"/>
      <c r="S237" s="46"/>
      <c r="T237" s="46"/>
      <c r="U237" s="46"/>
      <c r="V237" s="46"/>
    </row>
    <row r="238" ht="15.75" customHeight="1">
      <c r="A238" s="46"/>
      <c r="B238" s="119"/>
      <c r="C238" s="46"/>
      <c r="D238" s="120"/>
      <c r="E238" s="62"/>
      <c r="F238" s="46"/>
      <c r="G238" s="46"/>
      <c r="H238" s="46"/>
      <c r="I238" s="46"/>
      <c r="J238" s="46"/>
      <c r="K238" s="46"/>
      <c r="L238" s="46"/>
      <c r="M238" s="46"/>
      <c r="N238" s="46"/>
      <c r="O238" s="46"/>
      <c r="P238" s="46"/>
      <c r="Q238" s="46"/>
      <c r="R238" s="46"/>
      <c r="S238" s="46"/>
      <c r="T238" s="46"/>
      <c r="U238" s="46"/>
      <c r="V238" s="46"/>
    </row>
    <row r="239" ht="15.75" customHeight="1">
      <c r="A239" s="46"/>
      <c r="B239" s="119"/>
      <c r="C239" s="46"/>
      <c r="D239" s="120"/>
      <c r="E239" s="62"/>
      <c r="F239" s="46"/>
      <c r="G239" s="46"/>
      <c r="H239" s="46"/>
      <c r="I239" s="46"/>
      <c r="J239" s="46"/>
      <c r="K239" s="46"/>
      <c r="L239" s="46"/>
      <c r="M239" s="46"/>
      <c r="N239" s="46"/>
      <c r="O239" s="46"/>
      <c r="P239" s="46"/>
      <c r="Q239" s="46"/>
      <c r="R239" s="46"/>
      <c r="S239" s="46"/>
      <c r="T239" s="46"/>
      <c r="U239" s="46"/>
      <c r="V239" s="46"/>
    </row>
    <row r="240" ht="15.75" customHeight="1">
      <c r="A240" s="46"/>
      <c r="B240" s="119"/>
      <c r="C240" s="46"/>
      <c r="D240" s="120"/>
      <c r="E240" s="62"/>
      <c r="F240" s="46"/>
      <c r="G240" s="46"/>
      <c r="H240" s="46"/>
      <c r="I240" s="46"/>
      <c r="J240" s="46"/>
      <c r="K240" s="46"/>
      <c r="L240" s="46"/>
      <c r="M240" s="46"/>
      <c r="N240" s="46"/>
      <c r="O240" s="46"/>
      <c r="P240" s="46"/>
      <c r="Q240" s="46"/>
      <c r="R240" s="46"/>
      <c r="S240" s="46"/>
      <c r="T240" s="46"/>
      <c r="U240" s="46"/>
      <c r="V240" s="46"/>
    </row>
    <row r="241" ht="15.75" customHeight="1">
      <c r="A241" s="46"/>
      <c r="B241" s="119"/>
      <c r="C241" s="46"/>
      <c r="D241" s="120"/>
      <c r="E241" s="62"/>
      <c r="F241" s="46"/>
      <c r="G241" s="46"/>
      <c r="H241" s="46"/>
      <c r="I241" s="46"/>
      <c r="J241" s="46"/>
      <c r="K241" s="46"/>
      <c r="L241" s="46"/>
      <c r="M241" s="46"/>
      <c r="N241" s="46"/>
      <c r="O241" s="46"/>
      <c r="P241" s="46"/>
      <c r="Q241" s="46"/>
      <c r="R241" s="46"/>
      <c r="S241" s="46"/>
      <c r="T241" s="46"/>
      <c r="U241" s="46"/>
      <c r="V241" s="46"/>
    </row>
    <row r="242" ht="15.75" customHeight="1">
      <c r="A242" s="46"/>
      <c r="B242" s="119"/>
      <c r="C242" s="46"/>
      <c r="D242" s="120"/>
      <c r="E242" s="62"/>
      <c r="F242" s="46"/>
      <c r="G242" s="46"/>
      <c r="H242" s="46"/>
      <c r="I242" s="46"/>
      <c r="J242" s="46"/>
      <c r="K242" s="46"/>
      <c r="L242" s="46"/>
      <c r="M242" s="46"/>
      <c r="N242" s="46"/>
      <c r="O242" s="46"/>
      <c r="P242" s="46"/>
      <c r="Q242" s="46"/>
      <c r="R242" s="46"/>
      <c r="S242" s="46"/>
      <c r="T242" s="46"/>
      <c r="U242" s="46"/>
      <c r="V242" s="46"/>
    </row>
    <row r="243" ht="15.75" customHeight="1">
      <c r="A243" s="46"/>
      <c r="B243" s="119"/>
      <c r="C243" s="46"/>
      <c r="D243" s="120"/>
      <c r="E243" s="62"/>
      <c r="F243" s="46"/>
      <c r="G243" s="46"/>
      <c r="H243" s="46"/>
      <c r="I243" s="46"/>
      <c r="J243" s="46"/>
      <c r="K243" s="46"/>
      <c r="L243" s="46"/>
      <c r="M243" s="46"/>
      <c r="N243" s="46"/>
      <c r="O243" s="46"/>
      <c r="P243" s="46"/>
      <c r="Q243" s="46"/>
      <c r="R243" s="46"/>
      <c r="S243" s="46"/>
      <c r="T243" s="46"/>
      <c r="U243" s="46"/>
      <c r="V243" s="46"/>
    </row>
    <row r="244" ht="15.75" customHeight="1">
      <c r="A244" s="46"/>
      <c r="B244" s="119"/>
      <c r="C244" s="46"/>
      <c r="D244" s="120"/>
      <c r="E244" s="62"/>
      <c r="F244" s="46"/>
      <c r="G244" s="46"/>
      <c r="H244" s="46"/>
      <c r="I244" s="46"/>
      <c r="J244" s="46"/>
      <c r="K244" s="46"/>
      <c r="L244" s="46"/>
      <c r="M244" s="46"/>
      <c r="N244" s="46"/>
      <c r="O244" s="46"/>
      <c r="P244" s="46"/>
      <c r="Q244" s="46"/>
      <c r="R244" s="46"/>
      <c r="S244" s="46"/>
      <c r="T244" s="46"/>
      <c r="U244" s="46"/>
      <c r="V244" s="46"/>
    </row>
    <row r="245" ht="15.75" customHeight="1">
      <c r="A245" s="46"/>
      <c r="B245" s="119"/>
      <c r="C245" s="46"/>
      <c r="D245" s="120"/>
      <c r="E245" s="62"/>
      <c r="F245" s="46"/>
      <c r="G245" s="46"/>
      <c r="H245" s="46"/>
      <c r="I245" s="46"/>
      <c r="J245" s="46"/>
      <c r="K245" s="46"/>
      <c r="L245" s="46"/>
      <c r="M245" s="46"/>
      <c r="N245" s="46"/>
      <c r="O245" s="46"/>
      <c r="P245" s="46"/>
      <c r="Q245" s="46"/>
      <c r="R245" s="46"/>
      <c r="S245" s="46"/>
      <c r="T245" s="46"/>
      <c r="U245" s="46"/>
      <c r="V245" s="46"/>
    </row>
    <row r="246" ht="15.75" customHeight="1">
      <c r="A246" s="46"/>
      <c r="B246" s="119"/>
      <c r="C246" s="46"/>
      <c r="D246" s="120"/>
      <c r="E246" s="62"/>
      <c r="F246" s="46"/>
      <c r="G246" s="46"/>
      <c r="H246" s="46"/>
      <c r="I246" s="46"/>
      <c r="J246" s="46"/>
      <c r="K246" s="46"/>
      <c r="L246" s="46"/>
      <c r="M246" s="46"/>
      <c r="N246" s="46"/>
      <c r="O246" s="46"/>
      <c r="P246" s="46"/>
      <c r="Q246" s="46"/>
      <c r="R246" s="46"/>
      <c r="S246" s="46"/>
      <c r="T246" s="46"/>
      <c r="U246" s="46"/>
      <c r="V246" s="46"/>
    </row>
    <row r="247" ht="15.75" customHeight="1">
      <c r="A247" s="46"/>
      <c r="B247" s="119"/>
      <c r="C247" s="46"/>
      <c r="D247" s="120"/>
      <c r="E247" s="62"/>
      <c r="F247" s="46"/>
      <c r="G247" s="46"/>
      <c r="H247" s="46"/>
      <c r="I247" s="46"/>
      <c r="J247" s="46"/>
      <c r="K247" s="46"/>
      <c r="L247" s="46"/>
      <c r="M247" s="46"/>
      <c r="N247" s="46"/>
      <c r="O247" s="46"/>
      <c r="P247" s="46"/>
      <c r="Q247" s="46"/>
      <c r="R247" s="46"/>
      <c r="S247" s="46"/>
      <c r="T247" s="46"/>
      <c r="U247" s="46"/>
      <c r="V247" s="46"/>
    </row>
    <row r="248" ht="15.75" customHeight="1">
      <c r="A248" s="46"/>
      <c r="B248" s="119"/>
      <c r="C248" s="46"/>
      <c r="D248" s="120"/>
      <c r="E248" s="62"/>
      <c r="F248" s="46"/>
      <c r="G248" s="46"/>
      <c r="H248" s="46"/>
      <c r="I248" s="46"/>
      <c r="J248" s="46"/>
      <c r="K248" s="46"/>
      <c r="L248" s="46"/>
      <c r="M248" s="46"/>
      <c r="N248" s="46"/>
      <c r="O248" s="46"/>
      <c r="P248" s="46"/>
      <c r="Q248" s="46"/>
      <c r="R248" s="46"/>
      <c r="S248" s="46"/>
      <c r="T248" s="46"/>
      <c r="U248" s="46"/>
      <c r="V248" s="46"/>
    </row>
    <row r="249" ht="15.75" customHeight="1">
      <c r="A249" s="46"/>
      <c r="B249" s="119"/>
      <c r="C249" s="46"/>
      <c r="D249" s="120"/>
      <c r="E249" s="62"/>
      <c r="F249" s="46"/>
      <c r="G249" s="46"/>
      <c r="H249" s="46"/>
      <c r="I249" s="46"/>
      <c r="J249" s="46"/>
      <c r="K249" s="46"/>
      <c r="L249" s="46"/>
      <c r="M249" s="46"/>
      <c r="N249" s="46"/>
      <c r="O249" s="46"/>
      <c r="P249" s="46"/>
      <c r="Q249" s="46"/>
      <c r="R249" s="46"/>
      <c r="S249" s="46"/>
      <c r="T249" s="46"/>
      <c r="U249" s="46"/>
      <c r="V249" s="46"/>
    </row>
    <row r="250" ht="15.75" customHeight="1">
      <c r="A250" s="46"/>
      <c r="B250" s="119"/>
      <c r="C250" s="46"/>
      <c r="D250" s="120"/>
      <c r="E250" s="62"/>
      <c r="F250" s="46"/>
      <c r="G250" s="46"/>
      <c r="H250" s="46"/>
      <c r="I250" s="46"/>
      <c r="J250" s="46"/>
      <c r="K250" s="46"/>
      <c r="L250" s="46"/>
      <c r="M250" s="46"/>
      <c r="N250" s="46"/>
      <c r="O250" s="46"/>
      <c r="P250" s="46"/>
      <c r="Q250" s="46"/>
      <c r="R250" s="46"/>
      <c r="S250" s="46"/>
      <c r="T250" s="46"/>
      <c r="U250" s="46"/>
      <c r="V250" s="46"/>
    </row>
    <row r="251" ht="15.75" customHeight="1">
      <c r="A251" s="46"/>
      <c r="B251" s="119"/>
      <c r="C251" s="46"/>
      <c r="D251" s="120"/>
      <c r="E251" s="62"/>
      <c r="F251" s="46"/>
      <c r="G251" s="46"/>
      <c r="H251" s="46"/>
      <c r="I251" s="46"/>
      <c r="J251" s="46"/>
      <c r="K251" s="46"/>
      <c r="L251" s="46"/>
      <c r="M251" s="46"/>
      <c r="N251" s="46"/>
      <c r="O251" s="46"/>
      <c r="P251" s="46"/>
      <c r="Q251" s="46"/>
      <c r="R251" s="46"/>
      <c r="S251" s="46"/>
      <c r="T251" s="46"/>
      <c r="U251" s="46"/>
      <c r="V251" s="46"/>
    </row>
    <row r="252" ht="15.75" customHeight="1">
      <c r="A252" s="46"/>
      <c r="B252" s="119"/>
      <c r="C252" s="46"/>
      <c r="D252" s="120"/>
      <c r="E252" s="62"/>
      <c r="F252" s="46"/>
      <c r="G252" s="46"/>
      <c r="H252" s="46"/>
      <c r="I252" s="46"/>
      <c r="J252" s="46"/>
      <c r="K252" s="46"/>
      <c r="L252" s="46"/>
      <c r="M252" s="46"/>
      <c r="N252" s="46"/>
      <c r="O252" s="46"/>
      <c r="P252" s="46"/>
      <c r="Q252" s="46"/>
      <c r="R252" s="46"/>
      <c r="S252" s="46"/>
      <c r="T252" s="46"/>
      <c r="U252" s="46"/>
      <c r="V252" s="46"/>
    </row>
    <row r="253" ht="15.75" customHeight="1">
      <c r="A253" s="46"/>
      <c r="B253" s="119"/>
      <c r="C253" s="46"/>
      <c r="D253" s="120"/>
      <c r="E253" s="62"/>
      <c r="F253" s="46"/>
      <c r="G253" s="46"/>
      <c r="H253" s="46"/>
      <c r="I253" s="46"/>
      <c r="J253" s="46"/>
      <c r="K253" s="46"/>
      <c r="L253" s="46"/>
      <c r="M253" s="46"/>
      <c r="N253" s="46"/>
      <c r="O253" s="46"/>
      <c r="P253" s="46"/>
      <c r="Q253" s="46"/>
      <c r="R253" s="46"/>
      <c r="S253" s="46"/>
      <c r="T253" s="46"/>
      <c r="U253" s="46"/>
      <c r="V253" s="46"/>
    </row>
    <row r="254" ht="15.75" customHeight="1">
      <c r="A254" s="46"/>
      <c r="B254" s="119"/>
      <c r="C254" s="46"/>
      <c r="D254" s="120"/>
      <c r="E254" s="62"/>
      <c r="F254" s="46"/>
      <c r="G254" s="46"/>
      <c r="H254" s="46"/>
      <c r="I254" s="46"/>
      <c r="J254" s="46"/>
      <c r="K254" s="46"/>
      <c r="L254" s="46"/>
      <c r="M254" s="46"/>
      <c r="N254" s="46"/>
      <c r="O254" s="46"/>
      <c r="P254" s="46"/>
      <c r="Q254" s="46"/>
      <c r="R254" s="46"/>
      <c r="S254" s="46"/>
      <c r="T254" s="46"/>
      <c r="U254" s="46"/>
      <c r="V254" s="46"/>
    </row>
    <row r="255" ht="15.75" customHeight="1">
      <c r="A255" s="46"/>
      <c r="B255" s="119"/>
      <c r="C255" s="46"/>
      <c r="D255" s="120"/>
      <c r="E255" s="62"/>
      <c r="F255" s="46"/>
      <c r="G255" s="46"/>
      <c r="H255" s="46"/>
      <c r="I255" s="46"/>
      <c r="J255" s="46"/>
      <c r="K255" s="46"/>
      <c r="L255" s="46"/>
      <c r="M255" s="46"/>
      <c r="N255" s="46"/>
      <c r="O255" s="46"/>
      <c r="P255" s="46"/>
      <c r="Q255" s="46"/>
      <c r="R255" s="46"/>
      <c r="S255" s="46"/>
      <c r="T255" s="46"/>
      <c r="U255" s="46"/>
      <c r="V255" s="46"/>
    </row>
    <row r="256" ht="15.75" customHeight="1">
      <c r="A256" s="46"/>
      <c r="B256" s="119"/>
      <c r="C256" s="46"/>
      <c r="D256" s="120"/>
      <c r="E256" s="62"/>
      <c r="F256" s="46"/>
      <c r="G256" s="46"/>
      <c r="H256" s="46"/>
      <c r="I256" s="46"/>
      <c r="J256" s="46"/>
      <c r="K256" s="46"/>
      <c r="L256" s="46"/>
      <c r="M256" s="46"/>
      <c r="N256" s="46"/>
      <c r="O256" s="46"/>
      <c r="P256" s="46"/>
      <c r="Q256" s="46"/>
      <c r="R256" s="46"/>
      <c r="S256" s="46"/>
      <c r="T256" s="46"/>
      <c r="U256" s="46"/>
      <c r="V256" s="46"/>
    </row>
    <row r="257" ht="15.75" customHeight="1">
      <c r="A257" s="46"/>
      <c r="B257" s="119"/>
      <c r="C257" s="46"/>
      <c r="D257" s="120"/>
      <c r="E257" s="62"/>
      <c r="F257" s="46"/>
      <c r="G257" s="46"/>
      <c r="H257" s="46"/>
      <c r="I257" s="46"/>
      <c r="J257" s="46"/>
      <c r="K257" s="46"/>
      <c r="L257" s="46"/>
      <c r="M257" s="46"/>
      <c r="N257" s="46"/>
      <c r="O257" s="46"/>
      <c r="P257" s="46"/>
      <c r="Q257" s="46"/>
      <c r="R257" s="46"/>
      <c r="S257" s="46"/>
      <c r="T257" s="46"/>
      <c r="U257" s="46"/>
      <c r="V257" s="46"/>
    </row>
    <row r="258" ht="15.75" customHeight="1">
      <c r="A258" s="46"/>
      <c r="B258" s="119"/>
      <c r="C258" s="46"/>
      <c r="D258" s="120"/>
      <c r="E258" s="62"/>
      <c r="F258" s="46"/>
      <c r="G258" s="46"/>
      <c r="H258" s="46"/>
      <c r="I258" s="46"/>
      <c r="J258" s="46"/>
      <c r="K258" s="46"/>
      <c r="L258" s="46"/>
      <c r="M258" s="46"/>
      <c r="N258" s="46"/>
      <c r="O258" s="46"/>
      <c r="P258" s="46"/>
      <c r="Q258" s="46"/>
      <c r="R258" s="46"/>
      <c r="S258" s="46"/>
      <c r="T258" s="46"/>
      <c r="U258" s="46"/>
      <c r="V258" s="46"/>
    </row>
    <row r="259" ht="15.75" customHeight="1">
      <c r="A259" s="46"/>
      <c r="B259" s="119"/>
      <c r="C259" s="46"/>
      <c r="D259" s="120"/>
      <c r="E259" s="62"/>
      <c r="F259" s="46"/>
      <c r="G259" s="46"/>
      <c r="H259" s="46"/>
      <c r="I259" s="46"/>
      <c r="J259" s="46"/>
      <c r="K259" s="46"/>
      <c r="L259" s="46"/>
      <c r="M259" s="46"/>
      <c r="N259" s="46"/>
      <c r="O259" s="46"/>
      <c r="P259" s="46"/>
      <c r="Q259" s="46"/>
      <c r="R259" s="46"/>
      <c r="S259" s="46"/>
      <c r="T259" s="46"/>
      <c r="U259" s="46"/>
      <c r="V259" s="46"/>
    </row>
    <row r="260" ht="15.75" customHeight="1">
      <c r="A260" s="46"/>
      <c r="B260" s="119"/>
      <c r="C260" s="46"/>
      <c r="D260" s="120"/>
      <c r="E260" s="62"/>
      <c r="F260" s="46"/>
      <c r="G260" s="46"/>
      <c r="H260" s="46"/>
      <c r="I260" s="46"/>
      <c r="J260" s="46"/>
      <c r="K260" s="46"/>
      <c r="L260" s="46"/>
      <c r="M260" s="46"/>
      <c r="N260" s="46"/>
      <c r="O260" s="46"/>
      <c r="P260" s="46"/>
      <c r="Q260" s="46"/>
      <c r="R260" s="46"/>
      <c r="S260" s="46"/>
      <c r="T260" s="46"/>
      <c r="U260" s="46"/>
      <c r="V260" s="46"/>
    </row>
    <row r="261" ht="15.75" customHeight="1">
      <c r="A261" s="46"/>
      <c r="B261" s="119"/>
      <c r="C261" s="46"/>
      <c r="D261" s="120"/>
      <c r="E261" s="62"/>
      <c r="F261" s="46"/>
      <c r="G261" s="46"/>
      <c r="H261" s="46"/>
      <c r="I261" s="46"/>
      <c r="J261" s="46"/>
      <c r="K261" s="46"/>
      <c r="L261" s="46"/>
      <c r="M261" s="46"/>
      <c r="N261" s="46"/>
      <c r="O261" s="46"/>
      <c r="P261" s="46"/>
      <c r="Q261" s="46"/>
      <c r="R261" s="46"/>
      <c r="S261" s="46"/>
      <c r="T261" s="46"/>
      <c r="U261" s="46"/>
      <c r="V261" s="46"/>
    </row>
    <row r="262" ht="15.75" customHeight="1">
      <c r="A262" s="46"/>
      <c r="B262" s="119"/>
      <c r="C262" s="46"/>
      <c r="D262" s="120"/>
      <c r="E262" s="62"/>
      <c r="F262" s="46"/>
      <c r="G262" s="46"/>
      <c r="H262" s="46"/>
      <c r="I262" s="46"/>
      <c r="J262" s="46"/>
      <c r="K262" s="46"/>
      <c r="L262" s="46"/>
      <c r="M262" s="46"/>
      <c r="N262" s="46"/>
      <c r="O262" s="46"/>
      <c r="P262" s="46"/>
      <c r="Q262" s="46"/>
      <c r="R262" s="46"/>
      <c r="S262" s="46"/>
      <c r="T262" s="46"/>
      <c r="U262" s="46"/>
      <c r="V262" s="46"/>
    </row>
    <row r="263" ht="15.75" customHeight="1">
      <c r="A263" s="46"/>
      <c r="B263" s="119"/>
      <c r="C263" s="46"/>
      <c r="D263" s="120"/>
      <c r="E263" s="62"/>
      <c r="F263" s="46"/>
      <c r="G263" s="46"/>
      <c r="H263" s="46"/>
      <c r="I263" s="46"/>
      <c r="J263" s="46"/>
      <c r="K263" s="46"/>
      <c r="L263" s="46"/>
      <c r="M263" s="46"/>
      <c r="N263" s="46"/>
      <c r="O263" s="46"/>
      <c r="P263" s="46"/>
      <c r="Q263" s="46"/>
      <c r="R263" s="46"/>
      <c r="S263" s="46"/>
      <c r="T263" s="46"/>
      <c r="U263" s="46"/>
      <c r="V263" s="46"/>
    </row>
    <row r="264" ht="15.75" customHeight="1">
      <c r="A264" s="46"/>
      <c r="B264" s="119"/>
      <c r="C264" s="46"/>
      <c r="D264" s="120"/>
      <c r="E264" s="62"/>
      <c r="F264" s="46"/>
      <c r="G264" s="46"/>
      <c r="H264" s="46"/>
      <c r="I264" s="46"/>
      <c r="J264" s="46"/>
      <c r="K264" s="46"/>
      <c r="L264" s="46"/>
      <c r="M264" s="46"/>
      <c r="N264" s="46"/>
      <c r="O264" s="46"/>
      <c r="P264" s="46"/>
      <c r="Q264" s="46"/>
      <c r="R264" s="46"/>
      <c r="S264" s="46"/>
      <c r="T264" s="46"/>
      <c r="U264" s="46"/>
      <c r="V264" s="46"/>
    </row>
    <row r="265" ht="15.75" customHeight="1">
      <c r="A265" s="46"/>
      <c r="B265" s="119"/>
      <c r="C265" s="46"/>
      <c r="D265" s="120"/>
      <c r="E265" s="62"/>
      <c r="F265" s="46"/>
      <c r="G265" s="46"/>
      <c r="H265" s="46"/>
      <c r="I265" s="46"/>
      <c r="J265" s="46"/>
      <c r="K265" s="46"/>
      <c r="L265" s="46"/>
      <c r="M265" s="46"/>
      <c r="N265" s="46"/>
      <c r="O265" s="46"/>
      <c r="P265" s="46"/>
      <c r="Q265" s="46"/>
      <c r="R265" s="46"/>
      <c r="S265" s="46"/>
      <c r="T265" s="46"/>
      <c r="U265" s="46"/>
      <c r="V265" s="46"/>
    </row>
    <row r="266" ht="15.75" customHeight="1">
      <c r="A266" s="46"/>
      <c r="B266" s="119"/>
      <c r="C266" s="46"/>
      <c r="D266" s="120"/>
      <c r="E266" s="62"/>
      <c r="F266" s="46"/>
      <c r="G266" s="46"/>
      <c r="H266" s="46"/>
      <c r="I266" s="46"/>
      <c r="J266" s="46"/>
      <c r="K266" s="46"/>
      <c r="L266" s="46"/>
      <c r="M266" s="46"/>
      <c r="N266" s="46"/>
      <c r="O266" s="46"/>
      <c r="P266" s="46"/>
      <c r="Q266" s="46"/>
      <c r="R266" s="46"/>
      <c r="S266" s="46"/>
      <c r="T266" s="46"/>
      <c r="U266" s="46"/>
      <c r="V266" s="46"/>
    </row>
    <row r="267" ht="15.75" customHeight="1">
      <c r="A267" s="46"/>
      <c r="B267" s="119"/>
      <c r="C267" s="46"/>
      <c r="D267" s="120"/>
      <c r="E267" s="62"/>
      <c r="F267" s="46"/>
      <c r="G267" s="46"/>
      <c r="H267" s="46"/>
      <c r="I267" s="46"/>
      <c r="J267" s="46"/>
      <c r="K267" s="46"/>
      <c r="L267" s="46"/>
      <c r="M267" s="46"/>
      <c r="N267" s="46"/>
      <c r="O267" s="46"/>
      <c r="P267" s="46"/>
      <c r="Q267" s="46"/>
      <c r="R267" s="46"/>
      <c r="S267" s="46"/>
      <c r="T267" s="46"/>
      <c r="U267" s="46"/>
      <c r="V267" s="46"/>
    </row>
    <row r="268" ht="15.75" customHeight="1">
      <c r="A268" s="46"/>
      <c r="B268" s="119"/>
      <c r="C268" s="46"/>
      <c r="D268" s="120"/>
      <c r="E268" s="62"/>
      <c r="F268" s="46"/>
      <c r="G268" s="46"/>
      <c r="H268" s="46"/>
      <c r="I268" s="46"/>
      <c r="J268" s="46"/>
      <c r="K268" s="46"/>
      <c r="L268" s="46"/>
      <c r="M268" s="46"/>
      <c r="N268" s="46"/>
      <c r="O268" s="46"/>
      <c r="P268" s="46"/>
      <c r="Q268" s="46"/>
      <c r="R268" s="46"/>
      <c r="S268" s="46"/>
      <c r="T268" s="46"/>
      <c r="U268" s="46"/>
      <c r="V268" s="46"/>
    </row>
    <row r="269" ht="15.75" customHeight="1">
      <c r="A269" s="46"/>
      <c r="B269" s="119"/>
      <c r="C269" s="46"/>
      <c r="D269" s="120"/>
      <c r="E269" s="62"/>
      <c r="F269" s="46"/>
      <c r="G269" s="46"/>
      <c r="H269" s="46"/>
      <c r="I269" s="46"/>
      <c r="J269" s="46"/>
      <c r="K269" s="46"/>
      <c r="L269" s="46"/>
      <c r="M269" s="46"/>
      <c r="N269" s="46"/>
      <c r="O269" s="46"/>
      <c r="P269" s="46"/>
      <c r="Q269" s="46"/>
      <c r="R269" s="46"/>
      <c r="S269" s="46"/>
      <c r="T269" s="46"/>
      <c r="U269" s="46"/>
      <c r="V269" s="46"/>
    </row>
    <row r="270" ht="15.75" customHeight="1">
      <c r="A270" s="46"/>
      <c r="B270" s="119"/>
      <c r="C270" s="46"/>
      <c r="D270" s="120"/>
      <c r="E270" s="62"/>
      <c r="F270" s="46"/>
      <c r="G270" s="46"/>
      <c r="H270" s="46"/>
      <c r="I270" s="46"/>
      <c r="J270" s="46"/>
      <c r="K270" s="46"/>
      <c r="L270" s="46"/>
      <c r="M270" s="46"/>
      <c r="N270" s="46"/>
      <c r="O270" s="46"/>
      <c r="P270" s="46"/>
      <c r="Q270" s="46"/>
      <c r="R270" s="46"/>
      <c r="S270" s="46"/>
      <c r="T270" s="46"/>
      <c r="U270" s="46"/>
      <c r="V270" s="46"/>
    </row>
    <row r="271" ht="15.75" customHeight="1">
      <c r="A271" s="46"/>
      <c r="B271" s="119"/>
      <c r="C271" s="46"/>
      <c r="D271" s="120"/>
      <c r="E271" s="62"/>
      <c r="F271" s="46"/>
      <c r="G271" s="46"/>
      <c r="H271" s="46"/>
      <c r="I271" s="46"/>
      <c r="J271" s="46"/>
      <c r="K271" s="46"/>
      <c r="L271" s="46"/>
      <c r="M271" s="46"/>
      <c r="N271" s="46"/>
      <c r="O271" s="46"/>
      <c r="P271" s="46"/>
      <c r="Q271" s="46"/>
      <c r="R271" s="46"/>
      <c r="S271" s="46"/>
      <c r="T271" s="46"/>
      <c r="U271" s="46"/>
      <c r="V271" s="46"/>
    </row>
    <row r="272" ht="15.75" customHeight="1">
      <c r="A272" s="46"/>
      <c r="B272" s="119"/>
      <c r="C272" s="46"/>
      <c r="D272" s="120"/>
      <c r="E272" s="62"/>
      <c r="F272" s="46"/>
      <c r="G272" s="46"/>
      <c r="H272" s="46"/>
      <c r="I272" s="46"/>
      <c r="J272" s="46"/>
      <c r="K272" s="46"/>
      <c r="L272" s="46"/>
      <c r="M272" s="46"/>
      <c r="N272" s="46"/>
      <c r="O272" s="46"/>
      <c r="P272" s="46"/>
      <c r="Q272" s="46"/>
      <c r="R272" s="46"/>
      <c r="S272" s="46"/>
      <c r="T272" s="46"/>
      <c r="U272" s="46"/>
      <c r="V272" s="46"/>
    </row>
    <row r="273" ht="15.75" customHeight="1">
      <c r="A273" s="46"/>
      <c r="B273" s="119"/>
      <c r="C273" s="46"/>
      <c r="D273" s="120"/>
      <c r="E273" s="62"/>
      <c r="F273" s="46"/>
      <c r="G273" s="46"/>
      <c r="H273" s="46"/>
      <c r="I273" s="46"/>
      <c r="J273" s="46"/>
      <c r="K273" s="46"/>
      <c r="L273" s="46"/>
      <c r="M273" s="46"/>
      <c r="N273" s="46"/>
      <c r="O273" s="46"/>
      <c r="P273" s="46"/>
      <c r="Q273" s="46"/>
      <c r="R273" s="46"/>
      <c r="S273" s="46"/>
      <c r="T273" s="46"/>
      <c r="U273" s="46"/>
      <c r="V273" s="46"/>
    </row>
    <row r="274" ht="15.75" customHeight="1">
      <c r="A274" s="46"/>
      <c r="B274" s="119"/>
      <c r="C274" s="46"/>
      <c r="D274" s="120"/>
      <c r="E274" s="62"/>
      <c r="F274" s="46"/>
      <c r="G274" s="46"/>
      <c r="H274" s="46"/>
      <c r="I274" s="46"/>
      <c r="J274" s="46"/>
      <c r="K274" s="46"/>
      <c r="L274" s="46"/>
      <c r="M274" s="46"/>
      <c r="N274" s="46"/>
      <c r="O274" s="46"/>
      <c r="P274" s="46"/>
      <c r="Q274" s="46"/>
      <c r="R274" s="46"/>
      <c r="S274" s="46"/>
      <c r="T274" s="46"/>
      <c r="U274" s="46"/>
      <c r="V274" s="46"/>
    </row>
    <row r="275" ht="15.75" customHeight="1">
      <c r="A275" s="46"/>
      <c r="B275" s="119"/>
      <c r="C275" s="46"/>
      <c r="D275" s="120"/>
      <c r="E275" s="62"/>
      <c r="F275" s="46"/>
      <c r="G275" s="46"/>
      <c r="H275" s="46"/>
      <c r="I275" s="46"/>
      <c r="J275" s="46"/>
      <c r="K275" s="46"/>
      <c r="L275" s="46"/>
      <c r="M275" s="46"/>
      <c r="N275" s="46"/>
      <c r="O275" s="46"/>
      <c r="P275" s="46"/>
      <c r="Q275" s="46"/>
      <c r="R275" s="46"/>
      <c r="S275" s="46"/>
      <c r="T275" s="46"/>
      <c r="U275" s="46"/>
      <c r="V275" s="46"/>
    </row>
    <row r="276" ht="15.75" customHeight="1">
      <c r="A276" s="46"/>
      <c r="B276" s="119"/>
      <c r="C276" s="46"/>
      <c r="D276" s="120"/>
      <c r="E276" s="62"/>
      <c r="F276" s="46"/>
      <c r="G276" s="46"/>
      <c r="H276" s="46"/>
      <c r="I276" s="46"/>
      <c r="J276" s="46"/>
      <c r="K276" s="46"/>
      <c r="L276" s="46"/>
      <c r="M276" s="46"/>
      <c r="N276" s="46"/>
      <c r="O276" s="46"/>
      <c r="P276" s="46"/>
      <c r="Q276" s="46"/>
      <c r="R276" s="46"/>
      <c r="S276" s="46"/>
      <c r="T276" s="46"/>
      <c r="U276" s="46"/>
      <c r="V276" s="46"/>
    </row>
    <row r="277" ht="15.75" customHeight="1">
      <c r="A277" s="46"/>
      <c r="B277" s="119"/>
      <c r="C277" s="46"/>
      <c r="D277" s="120"/>
      <c r="E277" s="62"/>
      <c r="F277" s="46"/>
      <c r="G277" s="46"/>
      <c r="H277" s="46"/>
      <c r="I277" s="46"/>
      <c r="J277" s="46"/>
      <c r="K277" s="46"/>
      <c r="L277" s="46"/>
      <c r="M277" s="46"/>
      <c r="N277" s="46"/>
      <c r="O277" s="46"/>
      <c r="P277" s="46"/>
      <c r="Q277" s="46"/>
      <c r="R277" s="46"/>
      <c r="S277" s="46"/>
      <c r="T277" s="46"/>
      <c r="U277" s="46"/>
      <c r="V277" s="46"/>
    </row>
    <row r="278" ht="15.75" customHeight="1">
      <c r="A278" s="46"/>
      <c r="B278" s="119"/>
      <c r="C278" s="46"/>
      <c r="D278" s="120"/>
      <c r="E278" s="62"/>
      <c r="F278" s="46"/>
      <c r="G278" s="46"/>
      <c r="H278" s="46"/>
      <c r="I278" s="46"/>
      <c r="J278" s="46"/>
      <c r="K278" s="46"/>
      <c r="L278" s="46"/>
      <c r="M278" s="46"/>
      <c r="N278" s="46"/>
      <c r="O278" s="46"/>
      <c r="P278" s="46"/>
      <c r="Q278" s="46"/>
      <c r="R278" s="46"/>
      <c r="S278" s="46"/>
      <c r="T278" s="46"/>
      <c r="U278" s="46"/>
      <c r="V278" s="46"/>
    </row>
    <row r="279" ht="15.75" customHeight="1">
      <c r="A279" s="46"/>
      <c r="B279" s="119"/>
      <c r="C279" s="46"/>
      <c r="D279" s="120"/>
      <c r="E279" s="62"/>
      <c r="F279" s="46"/>
      <c r="G279" s="46"/>
      <c r="H279" s="46"/>
      <c r="I279" s="46"/>
      <c r="J279" s="46"/>
      <c r="K279" s="46"/>
      <c r="L279" s="46"/>
      <c r="M279" s="46"/>
      <c r="N279" s="46"/>
      <c r="O279" s="46"/>
      <c r="P279" s="46"/>
      <c r="Q279" s="46"/>
      <c r="R279" s="46"/>
      <c r="S279" s="46"/>
      <c r="T279" s="46"/>
      <c r="U279" s="46"/>
      <c r="V279" s="46"/>
    </row>
    <row r="280" ht="15.75" customHeight="1">
      <c r="A280" s="46"/>
      <c r="B280" s="119"/>
      <c r="C280" s="46"/>
      <c r="D280" s="120"/>
      <c r="E280" s="62"/>
      <c r="F280" s="46"/>
      <c r="G280" s="46"/>
      <c r="H280" s="46"/>
      <c r="I280" s="46"/>
      <c r="J280" s="46"/>
      <c r="K280" s="46"/>
      <c r="L280" s="46"/>
      <c r="M280" s="46"/>
      <c r="N280" s="46"/>
      <c r="O280" s="46"/>
      <c r="P280" s="46"/>
      <c r="Q280" s="46"/>
      <c r="R280" s="46"/>
      <c r="S280" s="46"/>
      <c r="T280" s="46"/>
      <c r="U280" s="46"/>
      <c r="V280" s="46"/>
    </row>
    <row r="281" ht="15.75" customHeight="1">
      <c r="A281" s="46"/>
      <c r="B281" s="119"/>
      <c r="C281" s="46"/>
      <c r="D281" s="120"/>
      <c r="E281" s="62"/>
      <c r="F281" s="46"/>
      <c r="G281" s="46"/>
      <c r="H281" s="46"/>
      <c r="I281" s="46"/>
      <c r="J281" s="46"/>
      <c r="K281" s="46"/>
      <c r="L281" s="46"/>
      <c r="M281" s="46"/>
      <c r="N281" s="46"/>
      <c r="O281" s="46"/>
      <c r="P281" s="46"/>
      <c r="Q281" s="46"/>
      <c r="R281" s="46"/>
      <c r="S281" s="46"/>
      <c r="T281" s="46"/>
      <c r="U281" s="46"/>
      <c r="V281" s="46"/>
    </row>
    <row r="282" ht="15.75" customHeight="1">
      <c r="A282" s="46"/>
      <c r="B282" s="119"/>
      <c r="C282" s="46"/>
      <c r="D282" s="120"/>
      <c r="E282" s="62"/>
      <c r="F282" s="46"/>
      <c r="G282" s="46"/>
      <c r="H282" s="46"/>
      <c r="I282" s="46"/>
      <c r="J282" s="46"/>
      <c r="K282" s="46"/>
      <c r="L282" s="46"/>
      <c r="M282" s="46"/>
      <c r="N282" s="46"/>
      <c r="O282" s="46"/>
      <c r="P282" s="46"/>
      <c r="Q282" s="46"/>
      <c r="R282" s="46"/>
      <c r="S282" s="46"/>
      <c r="T282" s="46"/>
      <c r="U282" s="46"/>
      <c r="V282" s="46"/>
    </row>
    <row r="283" ht="15.75" customHeight="1">
      <c r="A283" s="46"/>
      <c r="B283" s="119"/>
      <c r="C283" s="46"/>
      <c r="D283" s="120"/>
      <c r="E283" s="62"/>
      <c r="F283" s="46"/>
      <c r="G283" s="46"/>
      <c r="H283" s="46"/>
      <c r="I283" s="46"/>
      <c r="J283" s="46"/>
      <c r="K283" s="46"/>
      <c r="L283" s="46"/>
      <c r="M283" s="46"/>
      <c r="N283" s="46"/>
      <c r="O283" s="46"/>
      <c r="P283" s="46"/>
      <c r="Q283" s="46"/>
      <c r="R283" s="46"/>
      <c r="S283" s="46"/>
      <c r="T283" s="46"/>
      <c r="U283" s="46"/>
      <c r="V283" s="46"/>
    </row>
    <row r="284" ht="15.75" customHeight="1">
      <c r="A284" s="46"/>
      <c r="B284" s="119"/>
      <c r="C284" s="46"/>
      <c r="D284" s="120"/>
      <c r="E284" s="62"/>
      <c r="F284" s="46"/>
      <c r="G284" s="46"/>
      <c r="H284" s="46"/>
      <c r="I284" s="46"/>
      <c r="J284" s="46"/>
      <c r="K284" s="46"/>
      <c r="L284" s="46"/>
      <c r="M284" s="46"/>
      <c r="N284" s="46"/>
      <c r="O284" s="46"/>
      <c r="P284" s="46"/>
      <c r="Q284" s="46"/>
      <c r="R284" s="46"/>
      <c r="S284" s="46"/>
      <c r="T284" s="46"/>
      <c r="U284" s="46"/>
      <c r="V284" s="46"/>
    </row>
    <row r="285" ht="15.75" customHeight="1">
      <c r="A285" s="46"/>
      <c r="B285" s="119"/>
      <c r="C285" s="46"/>
      <c r="D285" s="120"/>
      <c r="E285" s="62"/>
      <c r="F285" s="46"/>
      <c r="G285" s="46"/>
      <c r="H285" s="46"/>
      <c r="I285" s="46"/>
      <c r="J285" s="46"/>
      <c r="K285" s="46"/>
      <c r="L285" s="46"/>
      <c r="M285" s="46"/>
      <c r="N285" s="46"/>
      <c r="O285" s="46"/>
      <c r="P285" s="46"/>
      <c r="Q285" s="46"/>
      <c r="R285" s="46"/>
      <c r="S285" s="46"/>
      <c r="T285" s="46"/>
      <c r="U285" s="46"/>
      <c r="V285" s="46"/>
    </row>
    <row r="286" ht="15.75" customHeight="1">
      <c r="A286" s="46"/>
      <c r="B286" s="119"/>
      <c r="C286" s="46"/>
      <c r="D286" s="120"/>
      <c r="E286" s="62"/>
      <c r="F286" s="46"/>
      <c r="G286" s="46"/>
      <c r="H286" s="46"/>
      <c r="I286" s="46"/>
      <c r="J286" s="46"/>
      <c r="K286" s="46"/>
      <c r="L286" s="46"/>
      <c r="M286" s="46"/>
      <c r="N286" s="46"/>
      <c r="O286" s="46"/>
      <c r="P286" s="46"/>
      <c r="Q286" s="46"/>
      <c r="R286" s="46"/>
      <c r="S286" s="46"/>
      <c r="T286" s="46"/>
      <c r="U286" s="46"/>
      <c r="V286" s="46"/>
    </row>
    <row r="287" ht="15.75" customHeight="1">
      <c r="A287" s="46"/>
      <c r="B287" s="119"/>
      <c r="C287" s="46"/>
      <c r="D287" s="120"/>
      <c r="E287" s="62"/>
      <c r="F287" s="46"/>
      <c r="G287" s="46"/>
      <c r="H287" s="46"/>
      <c r="I287" s="46"/>
      <c r="J287" s="46"/>
      <c r="K287" s="46"/>
      <c r="L287" s="46"/>
      <c r="M287" s="46"/>
      <c r="N287" s="46"/>
      <c r="O287" s="46"/>
      <c r="P287" s="46"/>
      <c r="Q287" s="46"/>
      <c r="R287" s="46"/>
      <c r="S287" s="46"/>
      <c r="T287" s="46"/>
      <c r="U287" s="46"/>
      <c r="V287" s="46"/>
    </row>
    <row r="288" ht="15.75" customHeight="1">
      <c r="A288" s="46"/>
      <c r="B288" s="119"/>
      <c r="C288" s="46"/>
      <c r="D288" s="120"/>
      <c r="E288" s="62"/>
      <c r="F288" s="46"/>
      <c r="G288" s="46"/>
      <c r="H288" s="46"/>
      <c r="I288" s="46"/>
      <c r="J288" s="46"/>
      <c r="K288" s="46"/>
      <c r="L288" s="46"/>
      <c r="M288" s="46"/>
      <c r="N288" s="46"/>
      <c r="O288" s="46"/>
      <c r="P288" s="46"/>
      <c r="Q288" s="46"/>
      <c r="R288" s="46"/>
      <c r="S288" s="46"/>
      <c r="T288" s="46"/>
      <c r="U288" s="46"/>
      <c r="V288" s="46"/>
    </row>
    <row r="289" ht="15.75" customHeight="1">
      <c r="A289" s="46"/>
      <c r="B289" s="119"/>
      <c r="C289" s="46"/>
      <c r="D289" s="120"/>
      <c r="E289" s="62"/>
      <c r="F289" s="46"/>
      <c r="G289" s="46"/>
      <c r="H289" s="46"/>
      <c r="I289" s="46"/>
      <c r="J289" s="46"/>
      <c r="K289" s="46"/>
      <c r="L289" s="46"/>
      <c r="M289" s="46"/>
      <c r="N289" s="46"/>
      <c r="O289" s="46"/>
      <c r="P289" s="46"/>
      <c r="Q289" s="46"/>
      <c r="R289" s="46"/>
      <c r="S289" s="46"/>
      <c r="T289" s="46"/>
      <c r="U289" s="46"/>
      <c r="V289" s="46"/>
    </row>
    <row r="290" ht="15.75" customHeight="1">
      <c r="A290" s="46"/>
      <c r="B290" s="119"/>
      <c r="C290" s="46"/>
      <c r="D290" s="120"/>
      <c r="E290" s="62"/>
      <c r="F290" s="46"/>
      <c r="G290" s="46"/>
      <c r="H290" s="46"/>
      <c r="I290" s="46"/>
      <c r="J290" s="46"/>
      <c r="K290" s="46"/>
      <c r="L290" s="46"/>
      <c r="M290" s="46"/>
      <c r="N290" s="46"/>
      <c r="O290" s="46"/>
      <c r="P290" s="46"/>
      <c r="Q290" s="46"/>
      <c r="R290" s="46"/>
      <c r="S290" s="46"/>
      <c r="T290" s="46"/>
      <c r="U290" s="46"/>
      <c r="V290" s="46"/>
    </row>
    <row r="291" ht="15.75" customHeight="1">
      <c r="A291" s="46"/>
      <c r="B291" s="119"/>
      <c r="C291" s="46"/>
      <c r="D291" s="120"/>
      <c r="E291" s="62"/>
      <c r="F291" s="46"/>
      <c r="G291" s="46"/>
      <c r="H291" s="46"/>
      <c r="I291" s="46"/>
      <c r="J291" s="46"/>
      <c r="K291" s="46"/>
      <c r="L291" s="46"/>
      <c r="M291" s="46"/>
      <c r="N291" s="46"/>
      <c r="O291" s="46"/>
      <c r="P291" s="46"/>
      <c r="Q291" s="46"/>
      <c r="R291" s="46"/>
      <c r="S291" s="46"/>
      <c r="T291" s="46"/>
      <c r="U291" s="46"/>
      <c r="V291" s="46"/>
    </row>
    <row r="292" ht="15.75" customHeight="1">
      <c r="A292" s="46"/>
      <c r="B292" s="119"/>
      <c r="C292" s="46"/>
      <c r="D292" s="120"/>
      <c r="E292" s="62"/>
      <c r="F292" s="46"/>
      <c r="G292" s="46"/>
      <c r="H292" s="46"/>
      <c r="I292" s="46"/>
      <c r="J292" s="46"/>
      <c r="K292" s="46"/>
      <c r="L292" s="46"/>
      <c r="M292" s="46"/>
      <c r="N292" s="46"/>
      <c r="O292" s="46"/>
      <c r="P292" s="46"/>
      <c r="Q292" s="46"/>
      <c r="R292" s="46"/>
      <c r="S292" s="46"/>
      <c r="T292" s="46"/>
      <c r="U292" s="46"/>
      <c r="V292" s="46"/>
    </row>
    <row r="293" ht="15.75" customHeight="1">
      <c r="A293" s="46"/>
      <c r="B293" s="119"/>
      <c r="C293" s="46"/>
      <c r="D293" s="120"/>
      <c r="E293" s="62"/>
      <c r="F293" s="46"/>
      <c r="G293" s="46"/>
      <c r="H293" s="46"/>
      <c r="I293" s="46"/>
      <c r="J293" s="46"/>
      <c r="K293" s="46"/>
      <c r="L293" s="46"/>
      <c r="M293" s="46"/>
      <c r="N293" s="46"/>
      <c r="O293" s="46"/>
      <c r="P293" s="46"/>
      <c r="Q293" s="46"/>
      <c r="R293" s="46"/>
      <c r="S293" s="46"/>
      <c r="T293" s="46"/>
      <c r="U293" s="46"/>
      <c r="V293" s="46"/>
    </row>
    <row r="294" ht="15.75" customHeight="1">
      <c r="A294" s="46"/>
      <c r="B294" s="119"/>
      <c r="C294" s="46"/>
      <c r="D294" s="120"/>
      <c r="E294" s="62"/>
      <c r="F294" s="46"/>
      <c r="G294" s="46"/>
      <c r="H294" s="46"/>
      <c r="I294" s="46"/>
      <c r="J294" s="46"/>
      <c r="K294" s="46"/>
      <c r="L294" s="46"/>
      <c r="M294" s="46"/>
      <c r="N294" s="46"/>
      <c r="O294" s="46"/>
      <c r="P294" s="46"/>
      <c r="Q294" s="46"/>
      <c r="R294" s="46"/>
      <c r="S294" s="46"/>
      <c r="T294" s="46"/>
      <c r="U294" s="46"/>
      <c r="V294" s="46"/>
    </row>
    <row r="295" ht="15.75" customHeight="1">
      <c r="A295" s="46"/>
      <c r="B295" s="119"/>
      <c r="C295" s="46"/>
      <c r="D295" s="120"/>
      <c r="E295" s="62"/>
      <c r="F295" s="46"/>
      <c r="G295" s="46"/>
      <c r="H295" s="46"/>
      <c r="I295" s="46"/>
      <c r="J295" s="46"/>
      <c r="K295" s="46"/>
      <c r="L295" s="46"/>
      <c r="M295" s="46"/>
      <c r="N295" s="46"/>
      <c r="O295" s="46"/>
      <c r="P295" s="46"/>
      <c r="Q295" s="46"/>
      <c r="R295" s="46"/>
      <c r="S295" s="46"/>
      <c r="T295" s="46"/>
      <c r="U295" s="46"/>
      <c r="V295" s="46"/>
    </row>
    <row r="296" ht="15.75" customHeight="1">
      <c r="A296" s="46"/>
      <c r="B296" s="119"/>
      <c r="C296" s="46"/>
      <c r="D296" s="120"/>
      <c r="E296" s="62"/>
      <c r="F296" s="46"/>
      <c r="G296" s="46"/>
      <c r="H296" s="46"/>
      <c r="I296" s="46"/>
      <c r="J296" s="46"/>
      <c r="K296" s="46"/>
      <c r="L296" s="46"/>
      <c r="M296" s="46"/>
      <c r="N296" s="46"/>
      <c r="O296" s="46"/>
      <c r="P296" s="46"/>
      <c r="Q296" s="46"/>
      <c r="R296" s="46"/>
      <c r="S296" s="46"/>
      <c r="T296" s="46"/>
      <c r="U296" s="46"/>
      <c r="V296" s="46"/>
    </row>
    <row r="297" ht="15.75" customHeight="1">
      <c r="A297" s="46"/>
      <c r="B297" s="119"/>
      <c r="C297" s="46"/>
      <c r="D297" s="120"/>
      <c r="E297" s="62"/>
      <c r="F297" s="46"/>
      <c r="G297" s="46"/>
      <c r="H297" s="46"/>
      <c r="I297" s="46"/>
      <c r="J297" s="46"/>
      <c r="K297" s="46"/>
      <c r="L297" s="46"/>
      <c r="M297" s="46"/>
      <c r="N297" s="46"/>
      <c r="O297" s="46"/>
      <c r="P297" s="46"/>
      <c r="Q297" s="46"/>
      <c r="R297" s="46"/>
      <c r="S297" s="46"/>
      <c r="T297" s="46"/>
      <c r="U297" s="46"/>
      <c r="V297" s="46"/>
    </row>
    <row r="298" ht="15.75" customHeight="1">
      <c r="A298" s="46"/>
      <c r="B298" s="119"/>
      <c r="C298" s="46"/>
      <c r="D298" s="120"/>
      <c r="E298" s="62"/>
      <c r="F298" s="46"/>
      <c r="G298" s="46"/>
      <c r="H298" s="46"/>
      <c r="I298" s="46"/>
      <c r="J298" s="46"/>
      <c r="K298" s="46"/>
      <c r="L298" s="46"/>
      <c r="M298" s="46"/>
      <c r="N298" s="46"/>
      <c r="O298" s="46"/>
      <c r="P298" s="46"/>
      <c r="Q298" s="46"/>
      <c r="R298" s="46"/>
      <c r="S298" s="46"/>
      <c r="T298" s="46"/>
      <c r="U298" s="46"/>
      <c r="V298" s="46"/>
    </row>
    <row r="299" ht="15.75" customHeight="1">
      <c r="A299" s="46"/>
      <c r="B299" s="119"/>
      <c r="C299" s="46"/>
      <c r="D299" s="120"/>
      <c r="E299" s="62"/>
      <c r="F299" s="46"/>
      <c r="G299" s="46"/>
      <c r="H299" s="46"/>
      <c r="I299" s="46"/>
      <c r="J299" s="46"/>
      <c r="K299" s="46"/>
      <c r="L299" s="46"/>
      <c r="M299" s="46"/>
      <c r="N299" s="46"/>
      <c r="O299" s="46"/>
      <c r="P299" s="46"/>
      <c r="Q299" s="46"/>
      <c r="R299" s="46"/>
      <c r="S299" s="46"/>
      <c r="T299" s="46"/>
      <c r="U299" s="46"/>
      <c r="V299" s="46"/>
    </row>
    <row r="300" ht="15.75" customHeight="1">
      <c r="A300" s="46"/>
      <c r="B300" s="119"/>
      <c r="C300" s="46"/>
      <c r="D300" s="120"/>
      <c r="E300" s="62"/>
      <c r="F300" s="46"/>
      <c r="G300" s="46"/>
      <c r="H300" s="46"/>
      <c r="I300" s="46"/>
      <c r="J300" s="46"/>
      <c r="K300" s="46"/>
      <c r="L300" s="46"/>
      <c r="M300" s="46"/>
      <c r="N300" s="46"/>
      <c r="O300" s="46"/>
      <c r="P300" s="46"/>
      <c r="Q300" s="46"/>
      <c r="R300" s="46"/>
      <c r="S300" s="46"/>
      <c r="T300" s="46"/>
      <c r="U300" s="46"/>
      <c r="V300" s="46"/>
    </row>
    <row r="301" ht="15.75" customHeight="1">
      <c r="A301" s="46"/>
      <c r="B301" s="119"/>
      <c r="C301" s="46"/>
      <c r="D301" s="120"/>
      <c r="E301" s="62"/>
      <c r="F301" s="46"/>
      <c r="G301" s="46"/>
      <c r="H301" s="46"/>
      <c r="I301" s="46"/>
      <c r="J301" s="46"/>
      <c r="K301" s="46"/>
      <c r="L301" s="46"/>
      <c r="M301" s="46"/>
      <c r="N301" s="46"/>
      <c r="O301" s="46"/>
      <c r="P301" s="46"/>
      <c r="Q301" s="46"/>
      <c r="R301" s="46"/>
      <c r="S301" s="46"/>
      <c r="T301" s="46"/>
      <c r="U301" s="46"/>
      <c r="V301" s="46"/>
    </row>
    <row r="302" ht="15.75" customHeight="1">
      <c r="A302" s="46"/>
      <c r="B302" s="119"/>
      <c r="C302" s="46"/>
      <c r="D302" s="120"/>
      <c r="E302" s="62"/>
      <c r="F302" s="46"/>
      <c r="G302" s="46"/>
      <c r="H302" s="46"/>
      <c r="I302" s="46"/>
      <c r="J302" s="46"/>
      <c r="K302" s="46"/>
      <c r="L302" s="46"/>
      <c r="M302" s="46"/>
      <c r="N302" s="46"/>
      <c r="O302" s="46"/>
      <c r="P302" s="46"/>
      <c r="Q302" s="46"/>
      <c r="R302" s="46"/>
      <c r="S302" s="46"/>
      <c r="T302" s="46"/>
      <c r="U302" s="46"/>
      <c r="V302" s="46"/>
    </row>
    <row r="303" ht="15.75" customHeight="1">
      <c r="A303" s="46"/>
      <c r="B303" s="119"/>
      <c r="C303" s="46"/>
      <c r="D303" s="120"/>
      <c r="E303" s="62"/>
      <c r="F303" s="46"/>
      <c r="G303" s="46"/>
      <c r="H303" s="46"/>
      <c r="I303" s="46"/>
      <c r="J303" s="46"/>
      <c r="K303" s="46"/>
      <c r="L303" s="46"/>
      <c r="M303" s="46"/>
      <c r="N303" s="46"/>
      <c r="O303" s="46"/>
      <c r="P303" s="46"/>
      <c r="Q303" s="46"/>
      <c r="R303" s="46"/>
      <c r="S303" s="46"/>
      <c r="T303" s="46"/>
      <c r="U303" s="46"/>
      <c r="V303" s="46"/>
    </row>
    <row r="304" ht="15.75" customHeight="1">
      <c r="A304" s="46"/>
      <c r="B304" s="119"/>
      <c r="C304" s="46"/>
      <c r="D304" s="120"/>
      <c r="E304" s="62"/>
      <c r="F304" s="46"/>
      <c r="G304" s="46"/>
      <c r="H304" s="46"/>
      <c r="I304" s="46"/>
      <c r="J304" s="46"/>
      <c r="K304" s="46"/>
      <c r="L304" s="46"/>
      <c r="M304" s="46"/>
      <c r="N304" s="46"/>
      <c r="O304" s="46"/>
      <c r="P304" s="46"/>
      <c r="Q304" s="46"/>
      <c r="R304" s="46"/>
      <c r="S304" s="46"/>
      <c r="T304" s="46"/>
      <c r="U304" s="46"/>
      <c r="V304" s="46"/>
    </row>
    <row r="305" ht="15.75" customHeight="1">
      <c r="A305" s="46"/>
      <c r="B305" s="119"/>
      <c r="C305" s="46"/>
      <c r="D305" s="120"/>
      <c r="E305" s="62"/>
      <c r="F305" s="46"/>
      <c r="G305" s="46"/>
      <c r="H305" s="46"/>
      <c r="I305" s="46"/>
      <c r="J305" s="46"/>
      <c r="K305" s="46"/>
      <c r="L305" s="46"/>
      <c r="M305" s="46"/>
      <c r="N305" s="46"/>
      <c r="O305" s="46"/>
      <c r="P305" s="46"/>
      <c r="Q305" s="46"/>
      <c r="R305" s="46"/>
      <c r="S305" s="46"/>
      <c r="T305" s="46"/>
      <c r="U305" s="46"/>
      <c r="V305" s="46"/>
    </row>
    <row r="306" ht="15.75" customHeight="1">
      <c r="A306" s="46"/>
      <c r="B306" s="119"/>
      <c r="C306" s="46"/>
      <c r="D306" s="120"/>
      <c r="E306" s="62"/>
      <c r="F306" s="46"/>
      <c r="G306" s="46"/>
      <c r="H306" s="46"/>
      <c r="I306" s="46"/>
      <c r="J306" s="46"/>
      <c r="K306" s="46"/>
      <c r="L306" s="46"/>
      <c r="M306" s="46"/>
      <c r="N306" s="46"/>
      <c r="O306" s="46"/>
      <c r="P306" s="46"/>
      <c r="Q306" s="46"/>
      <c r="R306" s="46"/>
      <c r="S306" s="46"/>
      <c r="T306" s="46"/>
      <c r="U306" s="46"/>
      <c r="V306" s="46"/>
    </row>
    <row r="307" ht="15.75" customHeight="1">
      <c r="A307" s="46"/>
      <c r="B307" s="119"/>
      <c r="C307" s="46"/>
      <c r="D307" s="120"/>
      <c r="E307" s="62"/>
      <c r="F307" s="46"/>
      <c r="G307" s="46"/>
      <c r="H307" s="46"/>
      <c r="I307" s="46"/>
      <c r="J307" s="46"/>
      <c r="K307" s="46"/>
      <c r="L307" s="46"/>
      <c r="M307" s="46"/>
      <c r="N307" s="46"/>
      <c r="O307" s="46"/>
      <c r="P307" s="46"/>
      <c r="Q307" s="46"/>
      <c r="R307" s="46"/>
      <c r="S307" s="46"/>
      <c r="T307" s="46"/>
      <c r="U307" s="46"/>
      <c r="V307" s="46"/>
    </row>
    <row r="308" ht="15.75" customHeight="1">
      <c r="A308" s="46"/>
      <c r="B308" s="119"/>
      <c r="C308" s="46"/>
      <c r="D308" s="120"/>
      <c r="E308" s="62"/>
      <c r="F308" s="46"/>
      <c r="G308" s="46"/>
      <c r="H308" s="46"/>
      <c r="I308" s="46"/>
      <c r="J308" s="46"/>
      <c r="K308" s="46"/>
      <c r="L308" s="46"/>
      <c r="M308" s="46"/>
      <c r="N308" s="46"/>
      <c r="O308" s="46"/>
      <c r="P308" s="46"/>
      <c r="Q308" s="46"/>
      <c r="R308" s="46"/>
      <c r="S308" s="46"/>
      <c r="T308" s="46"/>
      <c r="U308" s="46"/>
      <c r="V308" s="46"/>
    </row>
    <row r="309" ht="15.75" customHeight="1">
      <c r="A309" s="46"/>
      <c r="B309" s="119"/>
      <c r="C309" s="46"/>
      <c r="D309" s="120"/>
      <c r="E309" s="62"/>
      <c r="F309" s="46"/>
      <c r="G309" s="46"/>
      <c r="H309" s="46"/>
      <c r="I309" s="46"/>
      <c r="J309" s="46"/>
      <c r="K309" s="46"/>
      <c r="L309" s="46"/>
      <c r="M309" s="46"/>
      <c r="N309" s="46"/>
      <c r="O309" s="46"/>
      <c r="P309" s="46"/>
      <c r="Q309" s="46"/>
      <c r="R309" s="46"/>
      <c r="S309" s="46"/>
      <c r="T309" s="46"/>
      <c r="U309" s="46"/>
      <c r="V309" s="46"/>
    </row>
    <row r="310" ht="15.75" customHeight="1">
      <c r="A310" s="46"/>
      <c r="B310" s="119"/>
      <c r="C310" s="46"/>
      <c r="D310" s="120"/>
      <c r="E310" s="62"/>
      <c r="F310" s="46"/>
      <c r="G310" s="46"/>
      <c r="H310" s="46"/>
      <c r="I310" s="46"/>
      <c r="J310" s="46"/>
      <c r="K310" s="46"/>
      <c r="L310" s="46"/>
      <c r="M310" s="46"/>
      <c r="N310" s="46"/>
      <c r="O310" s="46"/>
      <c r="P310" s="46"/>
      <c r="Q310" s="46"/>
      <c r="R310" s="46"/>
      <c r="S310" s="46"/>
      <c r="T310" s="46"/>
      <c r="U310" s="46"/>
      <c r="V310" s="46"/>
    </row>
    <row r="311" ht="15.75" customHeight="1">
      <c r="A311" s="46"/>
      <c r="B311" s="119"/>
      <c r="C311" s="46"/>
      <c r="D311" s="120"/>
      <c r="E311" s="62"/>
      <c r="F311" s="46"/>
      <c r="G311" s="46"/>
      <c r="H311" s="46"/>
      <c r="I311" s="46"/>
      <c r="J311" s="46"/>
      <c r="K311" s="46"/>
      <c r="L311" s="46"/>
      <c r="M311" s="46"/>
      <c r="N311" s="46"/>
      <c r="O311" s="46"/>
      <c r="P311" s="46"/>
      <c r="Q311" s="46"/>
      <c r="R311" s="46"/>
      <c r="S311" s="46"/>
      <c r="T311" s="46"/>
      <c r="U311" s="46"/>
      <c r="V311" s="46"/>
    </row>
    <row r="312" ht="15.75" customHeight="1">
      <c r="A312" s="46"/>
      <c r="B312" s="119"/>
      <c r="C312" s="46"/>
      <c r="D312" s="120"/>
      <c r="E312" s="62"/>
      <c r="F312" s="46"/>
      <c r="G312" s="46"/>
      <c r="H312" s="46"/>
      <c r="I312" s="46"/>
      <c r="J312" s="46"/>
      <c r="K312" s="46"/>
      <c r="L312" s="46"/>
      <c r="M312" s="46"/>
      <c r="N312" s="46"/>
      <c r="O312" s="46"/>
      <c r="P312" s="46"/>
      <c r="Q312" s="46"/>
      <c r="R312" s="46"/>
      <c r="S312" s="46"/>
      <c r="T312" s="46"/>
      <c r="U312" s="46"/>
      <c r="V312" s="46"/>
    </row>
    <row r="313" ht="15.75" customHeight="1">
      <c r="A313" s="46"/>
      <c r="B313" s="119"/>
      <c r="C313" s="46"/>
      <c r="D313" s="120"/>
      <c r="E313" s="62"/>
      <c r="F313" s="46"/>
      <c r="G313" s="46"/>
      <c r="H313" s="46"/>
      <c r="I313" s="46"/>
      <c r="J313" s="46"/>
      <c r="K313" s="46"/>
      <c r="L313" s="46"/>
      <c r="M313" s="46"/>
      <c r="N313" s="46"/>
      <c r="O313" s="46"/>
      <c r="P313" s="46"/>
      <c r="Q313" s="46"/>
      <c r="R313" s="46"/>
      <c r="S313" s="46"/>
      <c r="T313" s="46"/>
      <c r="U313" s="46"/>
      <c r="V313" s="46"/>
    </row>
    <row r="314" ht="15.75" customHeight="1">
      <c r="A314" s="46"/>
      <c r="B314" s="119"/>
      <c r="C314" s="46"/>
      <c r="D314" s="120"/>
      <c r="E314" s="62"/>
      <c r="F314" s="46"/>
      <c r="G314" s="46"/>
      <c r="H314" s="46"/>
      <c r="I314" s="46"/>
      <c r="J314" s="46"/>
      <c r="K314" s="46"/>
      <c r="L314" s="46"/>
      <c r="M314" s="46"/>
      <c r="N314" s="46"/>
      <c r="O314" s="46"/>
      <c r="P314" s="46"/>
      <c r="Q314" s="46"/>
      <c r="R314" s="46"/>
      <c r="S314" s="46"/>
      <c r="T314" s="46"/>
      <c r="U314" s="46"/>
      <c r="V314" s="46"/>
    </row>
    <row r="315" ht="15.75" customHeight="1">
      <c r="A315" s="46"/>
      <c r="B315" s="119"/>
      <c r="C315" s="46"/>
      <c r="D315" s="120"/>
      <c r="E315" s="62"/>
      <c r="F315" s="46"/>
      <c r="G315" s="46"/>
      <c r="H315" s="46"/>
      <c r="I315" s="46"/>
      <c r="J315" s="46"/>
      <c r="K315" s="46"/>
      <c r="L315" s="46"/>
      <c r="M315" s="46"/>
      <c r="N315" s="46"/>
      <c r="O315" s="46"/>
      <c r="P315" s="46"/>
      <c r="Q315" s="46"/>
      <c r="R315" s="46"/>
      <c r="S315" s="46"/>
      <c r="T315" s="46"/>
      <c r="U315" s="46"/>
      <c r="V315" s="46"/>
    </row>
    <row r="316" ht="15.75" customHeight="1">
      <c r="A316" s="46"/>
      <c r="B316" s="119"/>
      <c r="C316" s="46"/>
      <c r="D316" s="120"/>
      <c r="E316" s="62"/>
      <c r="F316" s="46"/>
      <c r="G316" s="46"/>
      <c r="H316" s="46"/>
      <c r="I316" s="46"/>
      <c r="J316" s="46"/>
      <c r="K316" s="46"/>
      <c r="L316" s="46"/>
      <c r="M316" s="46"/>
      <c r="N316" s="46"/>
      <c r="O316" s="46"/>
      <c r="P316" s="46"/>
      <c r="Q316" s="46"/>
      <c r="R316" s="46"/>
      <c r="S316" s="46"/>
      <c r="T316" s="46"/>
      <c r="U316" s="46"/>
      <c r="V316" s="46"/>
    </row>
    <row r="317" ht="15.75" customHeight="1">
      <c r="A317" s="46"/>
      <c r="B317" s="119"/>
      <c r="C317" s="46"/>
      <c r="D317" s="120"/>
      <c r="E317" s="62"/>
      <c r="F317" s="46"/>
      <c r="G317" s="46"/>
      <c r="H317" s="46"/>
      <c r="I317" s="46"/>
      <c r="J317" s="46"/>
      <c r="K317" s="46"/>
      <c r="L317" s="46"/>
      <c r="M317" s="46"/>
      <c r="N317" s="46"/>
      <c r="O317" s="46"/>
      <c r="P317" s="46"/>
      <c r="Q317" s="46"/>
      <c r="R317" s="46"/>
      <c r="S317" s="46"/>
      <c r="T317" s="46"/>
      <c r="U317" s="46"/>
      <c r="V317" s="46"/>
    </row>
    <row r="318" ht="15.75" customHeight="1">
      <c r="A318" s="46"/>
      <c r="B318" s="119"/>
      <c r="C318" s="46"/>
      <c r="D318" s="120"/>
      <c r="E318" s="62"/>
      <c r="F318" s="46"/>
      <c r="G318" s="46"/>
      <c r="H318" s="46"/>
      <c r="I318" s="46"/>
      <c r="J318" s="46"/>
      <c r="K318" s="46"/>
      <c r="L318" s="46"/>
      <c r="M318" s="46"/>
      <c r="N318" s="46"/>
      <c r="O318" s="46"/>
      <c r="P318" s="46"/>
      <c r="Q318" s="46"/>
      <c r="R318" s="46"/>
      <c r="S318" s="46"/>
      <c r="T318" s="46"/>
      <c r="U318" s="46"/>
      <c r="V318" s="46"/>
    </row>
    <row r="319" ht="15.75" customHeight="1">
      <c r="A319" s="46"/>
      <c r="B319" s="119"/>
      <c r="C319" s="46"/>
      <c r="D319" s="120"/>
      <c r="E319" s="62"/>
      <c r="F319" s="46"/>
      <c r="G319" s="46"/>
      <c r="H319" s="46"/>
      <c r="I319" s="46"/>
      <c r="J319" s="46"/>
      <c r="K319" s="46"/>
      <c r="L319" s="46"/>
      <c r="M319" s="46"/>
      <c r="N319" s="46"/>
      <c r="O319" s="46"/>
      <c r="P319" s="46"/>
      <c r="Q319" s="46"/>
      <c r="R319" s="46"/>
      <c r="S319" s="46"/>
      <c r="T319" s="46"/>
      <c r="U319" s="46"/>
      <c r="V319" s="46"/>
    </row>
    <row r="320" ht="15.75" customHeight="1">
      <c r="A320" s="46"/>
      <c r="B320" s="119"/>
      <c r="C320" s="46"/>
      <c r="D320" s="120"/>
      <c r="E320" s="62"/>
      <c r="F320" s="46"/>
      <c r="G320" s="46"/>
      <c r="H320" s="46"/>
      <c r="I320" s="46"/>
      <c r="J320" s="46"/>
      <c r="K320" s="46"/>
      <c r="L320" s="46"/>
      <c r="M320" s="46"/>
      <c r="N320" s="46"/>
      <c r="O320" s="46"/>
      <c r="P320" s="46"/>
      <c r="Q320" s="46"/>
      <c r="R320" s="46"/>
      <c r="S320" s="46"/>
      <c r="T320" s="46"/>
      <c r="U320" s="46"/>
      <c r="V320" s="46"/>
    </row>
    <row r="321" ht="15.75" customHeight="1">
      <c r="A321" s="46"/>
      <c r="B321" s="119"/>
      <c r="C321" s="46"/>
      <c r="D321" s="120"/>
      <c r="E321" s="62"/>
      <c r="F321" s="46"/>
      <c r="G321" s="46"/>
      <c r="H321" s="46"/>
      <c r="I321" s="46"/>
      <c r="J321" s="46"/>
      <c r="K321" s="46"/>
      <c r="L321" s="46"/>
      <c r="M321" s="46"/>
      <c r="N321" s="46"/>
      <c r="O321" s="46"/>
      <c r="P321" s="46"/>
      <c r="Q321" s="46"/>
      <c r="R321" s="46"/>
      <c r="S321" s="46"/>
      <c r="T321" s="46"/>
      <c r="U321" s="46"/>
      <c r="V321" s="46"/>
    </row>
    <row r="322" ht="15.75" customHeight="1">
      <c r="A322" s="46"/>
      <c r="B322" s="119"/>
      <c r="C322" s="46"/>
      <c r="D322" s="120"/>
      <c r="E322" s="62"/>
      <c r="F322" s="46"/>
      <c r="G322" s="46"/>
      <c r="H322" s="46"/>
      <c r="I322" s="46"/>
      <c r="J322" s="46"/>
      <c r="K322" s="46"/>
      <c r="L322" s="46"/>
      <c r="M322" s="46"/>
      <c r="N322" s="46"/>
      <c r="O322" s="46"/>
      <c r="P322" s="46"/>
      <c r="Q322" s="46"/>
      <c r="R322" s="46"/>
      <c r="S322" s="46"/>
      <c r="T322" s="46"/>
      <c r="U322" s="46"/>
      <c r="V322" s="46"/>
    </row>
    <row r="323" ht="15.75" customHeight="1">
      <c r="A323" s="46"/>
      <c r="B323" s="119"/>
      <c r="C323" s="46"/>
      <c r="D323" s="120"/>
      <c r="E323" s="62"/>
      <c r="F323" s="46"/>
      <c r="G323" s="46"/>
      <c r="H323" s="46"/>
      <c r="I323" s="46"/>
      <c r="J323" s="46"/>
      <c r="K323" s="46"/>
      <c r="L323" s="46"/>
      <c r="M323" s="46"/>
      <c r="N323" s="46"/>
      <c r="O323" s="46"/>
      <c r="P323" s="46"/>
      <c r="Q323" s="46"/>
      <c r="R323" s="46"/>
      <c r="S323" s="46"/>
      <c r="T323" s="46"/>
      <c r="U323" s="46"/>
      <c r="V323" s="46"/>
    </row>
    <row r="324" ht="15.75" customHeight="1">
      <c r="A324" s="46"/>
      <c r="B324" s="119"/>
      <c r="C324" s="46"/>
      <c r="D324" s="120"/>
      <c r="E324" s="62"/>
      <c r="F324" s="46"/>
      <c r="G324" s="46"/>
      <c r="H324" s="46"/>
      <c r="I324" s="46"/>
      <c r="J324" s="46"/>
      <c r="K324" s="46"/>
      <c r="L324" s="46"/>
      <c r="M324" s="46"/>
      <c r="N324" s="46"/>
      <c r="O324" s="46"/>
      <c r="P324" s="46"/>
      <c r="Q324" s="46"/>
      <c r="R324" s="46"/>
      <c r="S324" s="46"/>
      <c r="T324" s="46"/>
      <c r="U324" s="46"/>
      <c r="V324" s="46"/>
    </row>
    <row r="325" ht="15.75" customHeight="1">
      <c r="A325" s="46"/>
      <c r="B325" s="119"/>
      <c r="C325" s="46"/>
      <c r="D325" s="120"/>
      <c r="E325" s="62"/>
      <c r="F325" s="46"/>
      <c r="G325" s="46"/>
      <c r="H325" s="46"/>
      <c r="I325" s="46"/>
      <c r="J325" s="46"/>
      <c r="K325" s="46"/>
      <c r="L325" s="46"/>
      <c r="M325" s="46"/>
      <c r="N325" s="46"/>
      <c r="O325" s="46"/>
      <c r="P325" s="46"/>
      <c r="Q325" s="46"/>
      <c r="R325" s="46"/>
      <c r="S325" s="46"/>
      <c r="T325" s="46"/>
      <c r="U325" s="46"/>
      <c r="V325" s="46"/>
    </row>
    <row r="326" ht="15.75" customHeight="1">
      <c r="A326" s="46"/>
      <c r="B326" s="119"/>
      <c r="C326" s="46"/>
      <c r="D326" s="120"/>
      <c r="E326" s="62"/>
      <c r="F326" s="46"/>
      <c r="G326" s="46"/>
      <c r="H326" s="46"/>
      <c r="I326" s="46"/>
      <c r="J326" s="46"/>
      <c r="K326" s="46"/>
      <c r="L326" s="46"/>
      <c r="M326" s="46"/>
      <c r="N326" s="46"/>
      <c r="O326" s="46"/>
      <c r="P326" s="46"/>
      <c r="Q326" s="46"/>
      <c r="R326" s="46"/>
      <c r="S326" s="46"/>
      <c r="T326" s="46"/>
      <c r="U326" s="46"/>
      <c r="V326" s="46"/>
    </row>
    <row r="327" ht="15.75" customHeight="1">
      <c r="A327" s="46"/>
      <c r="B327" s="119"/>
      <c r="C327" s="46"/>
      <c r="D327" s="120"/>
      <c r="E327" s="62"/>
      <c r="F327" s="46"/>
      <c r="G327" s="46"/>
      <c r="H327" s="46"/>
      <c r="I327" s="46"/>
      <c r="J327" s="46"/>
      <c r="K327" s="46"/>
      <c r="L327" s="46"/>
      <c r="M327" s="46"/>
      <c r="N327" s="46"/>
      <c r="O327" s="46"/>
      <c r="P327" s="46"/>
      <c r="Q327" s="46"/>
      <c r="R327" s="46"/>
      <c r="S327" s="46"/>
      <c r="T327" s="46"/>
      <c r="U327" s="46"/>
      <c r="V327" s="46"/>
    </row>
    <row r="328" ht="15.75" customHeight="1">
      <c r="A328" s="46"/>
      <c r="B328" s="119"/>
      <c r="C328" s="46"/>
      <c r="D328" s="120"/>
      <c r="E328" s="62"/>
      <c r="F328" s="46"/>
      <c r="G328" s="46"/>
      <c r="H328" s="46"/>
      <c r="I328" s="46"/>
      <c r="J328" s="46"/>
      <c r="K328" s="46"/>
      <c r="L328" s="46"/>
      <c r="M328" s="46"/>
      <c r="N328" s="46"/>
      <c r="O328" s="46"/>
      <c r="P328" s="46"/>
      <c r="Q328" s="46"/>
      <c r="R328" s="46"/>
      <c r="S328" s="46"/>
      <c r="T328" s="46"/>
      <c r="U328" s="46"/>
      <c r="V328" s="46"/>
    </row>
    <row r="329" ht="15.75" customHeight="1">
      <c r="A329" s="46"/>
      <c r="B329" s="119"/>
      <c r="C329" s="46"/>
      <c r="D329" s="120"/>
      <c r="E329" s="62"/>
      <c r="F329" s="46"/>
      <c r="G329" s="46"/>
      <c r="H329" s="46"/>
      <c r="I329" s="46"/>
      <c r="J329" s="46"/>
      <c r="K329" s="46"/>
      <c r="L329" s="46"/>
      <c r="M329" s="46"/>
      <c r="N329" s="46"/>
      <c r="O329" s="46"/>
      <c r="P329" s="46"/>
      <c r="Q329" s="46"/>
      <c r="R329" s="46"/>
      <c r="S329" s="46"/>
      <c r="T329" s="46"/>
      <c r="U329" s="46"/>
      <c r="V329" s="46"/>
    </row>
    <row r="330" ht="15.75" customHeight="1">
      <c r="A330" s="46"/>
      <c r="B330" s="119"/>
      <c r="C330" s="46"/>
      <c r="D330" s="120"/>
      <c r="E330" s="62"/>
      <c r="F330" s="46"/>
      <c r="G330" s="46"/>
      <c r="H330" s="46"/>
      <c r="I330" s="46"/>
      <c r="J330" s="46"/>
      <c r="K330" s="46"/>
      <c r="L330" s="46"/>
      <c r="M330" s="46"/>
      <c r="N330" s="46"/>
      <c r="O330" s="46"/>
      <c r="P330" s="46"/>
      <c r="Q330" s="46"/>
      <c r="R330" s="46"/>
      <c r="S330" s="46"/>
      <c r="T330" s="46"/>
      <c r="U330" s="46"/>
      <c r="V330" s="46"/>
    </row>
    <row r="331" ht="15.75" customHeight="1">
      <c r="A331" s="46"/>
      <c r="B331" s="119"/>
      <c r="C331" s="46"/>
      <c r="D331" s="120"/>
      <c r="E331" s="62"/>
      <c r="F331" s="46"/>
      <c r="G331" s="46"/>
      <c r="H331" s="46"/>
      <c r="I331" s="46"/>
      <c r="J331" s="46"/>
      <c r="K331" s="46"/>
      <c r="L331" s="46"/>
      <c r="M331" s="46"/>
      <c r="N331" s="46"/>
      <c r="O331" s="46"/>
      <c r="P331" s="46"/>
      <c r="Q331" s="46"/>
      <c r="R331" s="46"/>
      <c r="S331" s="46"/>
      <c r="T331" s="46"/>
      <c r="U331" s="46"/>
      <c r="V331" s="46"/>
    </row>
    <row r="332" ht="15.75" customHeight="1">
      <c r="A332" s="46"/>
      <c r="B332" s="119"/>
      <c r="C332" s="46"/>
      <c r="D332" s="120"/>
      <c r="E332" s="62"/>
      <c r="F332" s="46"/>
      <c r="G332" s="46"/>
      <c r="H332" s="46"/>
      <c r="I332" s="46"/>
      <c r="J332" s="46"/>
      <c r="K332" s="46"/>
      <c r="L332" s="46"/>
      <c r="M332" s="46"/>
      <c r="N332" s="46"/>
      <c r="O332" s="46"/>
      <c r="P332" s="46"/>
      <c r="Q332" s="46"/>
      <c r="R332" s="46"/>
      <c r="S332" s="46"/>
      <c r="T332" s="46"/>
      <c r="U332" s="46"/>
      <c r="V332" s="46"/>
    </row>
    <row r="333" ht="15.75" customHeight="1">
      <c r="A333" s="46"/>
      <c r="B333" s="119"/>
      <c r="C333" s="46"/>
      <c r="D333" s="120"/>
      <c r="E333" s="62"/>
      <c r="F333" s="46"/>
      <c r="G333" s="46"/>
      <c r="H333" s="46"/>
      <c r="I333" s="46"/>
      <c r="J333" s="46"/>
      <c r="K333" s="46"/>
      <c r="L333" s="46"/>
      <c r="M333" s="46"/>
      <c r="N333" s="46"/>
      <c r="O333" s="46"/>
      <c r="P333" s="46"/>
      <c r="Q333" s="46"/>
      <c r="R333" s="46"/>
      <c r="S333" s="46"/>
      <c r="T333" s="46"/>
      <c r="U333" s="46"/>
      <c r="V333" s="46"/>
    </row>
    <row r="334" ht="15.75" customHeight="1">
      <c r="A334" s="46"/>
      <c r="B334" s="119"/>
      <c r="C334" s="46"/>
      <c r="D334" s="120"/>
      <c r="E334" s="62"/>
      <c r="F334" s="46"/>
      <c r="G334" s="46"/>
      <c r="H334" s="46"/>
      <c r="I334" s="46"/>
      <c r="J334" s="46"/>
      <c r="K334" s="46"/>
      <c r="L334" s="46"/>
      <c r="M334" s="46"/>
      <c r="N334" s="46"/>
      <c r="O334" s="46"/>
      <c r="P334" s="46"/>
      <c r="Q334" s="46"/>
      <c r="R334" s="46"/>
      <c r="S334" s="46"/>
      <c r="T334" s="46"/>
      <c r="U334" s="46"/>
      <c r="V334" s="46"/>
    </row>
    <row r="335" ht="15.75" customHeight="1">
      <c r="A335" s="46"/>
      <c r="B335" s="119"/>
      <c r="C335" s="46"/>
      <c r="D335" s="120"/>
      <c r="E335" s="62"/>
      <c r="F335" s="46"/>
      <c r="G335" s="46"/>
      <c r="H335" s="46"/>
      <c r="I335" s="46"/>
      <c r="J335" s="46"/>
      <c r="K335" s="46"/>
      <c r="L335" s="46"/>
      <c r="M335" s="46"/>
      <c r="N335" s="46"/>
      <c r="O335" s="46"/>
      <c r="P335" s="46"/>
      <c r="Q335" s="46"/>
      <c r="R335" s="46"/>
      <c r="S335" s="46"/>
      <c r="T335" s="46"/>
      <c r="U335" s="46"/>
      <c r="V335" s="46"/>
    </row>
    <row r="336" ht="15.75" customHeight="1">
      <c r="A336" s="46"/>
      <c r="B336" s="119"/>
      <c r="C336" s="46"/>
      <c r="D336" s="120"/>
      <c r="E336" s="62"/>
      <c r="F336" s="46"/>
      <c r="G336" s="46"/>
      <c r="H336" s="46"/>
      <c r="I336" s="46"/>
      <c r="J336" s="46"/>
      <c r="K336" s="46"/>
      <c r="L336" s="46"/>
      <c r="M336" s="46"/>
      <c r="N336" s="46"/>
      <c r="O336" s="46"/>
      <c r="P336" s="46"/>
      <c r="Q336" s="46"/>
      <c r="R336" s="46"/>
      <c r="S336" s="46"/>
      <c r="T336" s="46"/>
      <c r="U336" s="46"/>
      <c r="V336" s="46"/>
    </row>
    <row r="337" ht="15.75" customHeight="1">
      <c r="A337" s="46"/>
      <c r="B337" s="119"/>
      <c r="C337" s="46"/>
      <c r="D337" s="120"/>
      <c r="E337" s="62"/>
      <c r="F337" s="46"/>
      <c r="G337" s="46"/>
      <c r="H337" s="46"/>
      <c r="I337" s="46"/>
      <c r="J337" s="46"/>
      <c r="K337" s="46"/>
      <c r="L337" s="46"/>
      <c r="M337" s="46"/>
      <c r="N337" s="46"/>
      <c r="O337" s="46"/>
      <c r="P337" s="46"/>
      <c r="Q337" s="46"/>
      <c r="R337" s="46"/>
      <c r="S337" s="46"/>
      <c r="T337" s="46"/>
      <c r="U337" s="46"/>
      <c r="V337" s="46"/>
    </row>
    <row r="338" ht="15.75" customHeight="1">
      <c r="A338" s="46"/>
      <c r="B338" s="119"/>
      <c r="C338" s="46"/>
      <c r="D338" s="120"/>
      <c r="E338" s="62"/>
      <c r="F338" s="46"/>
      <c r="G338" s="46"/>
      <c r="H338" s="46"/>
      <c r="I338" s="46"/>
      <c r="J338" s="46"/>
      <c r="K338" s="46"/>
      <c r="L338" s="46"/>
      <c r="M338" s="46"/>
      <c r="N338" s="46"/>
      <c r="O338" s="46"/>
      <c r="P338" s="46"/>
      <c r="Q338" s="46"/>
      <c r="R338" s="46"/>
      <c r="S338" s="46"/>
      <c r="T338" s="46"/>
      <c r="U338" s="46"/>
      <c r="V338" s="46"/>
    </row>
    <row r="339" ht="15.75" customHeight="1">
      <c r="A339" s="46"/>
      <c r="B339" s="119"/>
      <c r="C339" s="46"/>
      <c r="D339" s="120"/>
      <c r="E339" s="62"/>
      <c r="F339" s="46"/>
      <c r="G339" s="46"/>
      <c r="H339" s="46"/>
      <c r="I339" s="46"/>
      <c r="J339" s="46"/>
      <c r="K339" s="46"/>
      <c r="L339" s="46"/>
      <c r="M339" s="46"/>
      <c r="N339" s="46"/>
      <c r="O339" s="46"/>
      <c r="P339" s="46"/>
      <c r="Q339" s="46"/>
      <c r="R339" s="46"/>
      <c r="S339" s="46"/>
      <c r="T339" s="46"/>
      <c r="U339" s="46"/>
      <c r="V339" s="46"/>
    </row>
    <row r="340" ht="15.75" customHeight="1">
      <c r="A340" s="46"/>
      <c r="B340" s="119"/>
      <c r="C340" s="46"/>
      <c r="D340" s="120"/>
      <c r="E340" s="62"/>
      <c r="F340" s="46"/>
      <c r="G340" s="46"/>
      <c r="H340" s="46"/>
      <c r="I340" s="46"/>
      <c r="J340" s="46"/>
      <c r="K340" s="46"/>
      <c r="L340" s="46"/>
      <c r="M340" s="46"/>
      <c r="N340" s="46"/>
      <c r="O340" s="46"/>
      <c r="P340" s="46"/>
      <c r="Q340" s="46"/>
      <c r="R340" s="46"/>
      <c r="S340" s="46"/>
      <c r="T340" s="46"/>
      <c r="U340" s="46"/>
      <c r="V340" s="46"/>
    </row>
    <row r="341" ht="15.75" customHeight="1">
      <c r="A341" s="46"/>
      <c r="B341" s="119"/>
      <c r="C341" s="46"/>
      <c r="D341" s="120"/>
      <c r="E341" s="62"/>
      <c r="F341" s="46"/>
      <c r="G341" s="46"/>
      <c r="H341" s="46"/>
      <c r="I341" s="46"/>
      <c r="J341" s="46"/>
      <c r="K341" s="46"/>
      <c r="L341" s="46"/>
      <c r="M341" s="46"/>
      <c r="N341" s="46"/>
      <c r="O341" s="46"/>
      <c r="P341" s="46"/>
      <c r="Q341" s="46"/>
      <c r="R341" s="46"/>
      <c r="S341" s="46"/>
      <c r="T341" s="46"/>
      <c r="U341" s="46"/>
      <c r="V341" s="46"/>
    </row>
    <row r="342" ht="15.75" customHeight="1">
      <c r="A342" s="46"/>
      <c r="B342" s="119"/>
      <c r="C342" s="46"/>
      <c r="D342" s="120"/>
      <c r="E342" s="62"/>
      <c r="F342" s="46"/>
      <c r="G342" s="46"/>
      <c r="H342" s="46"/>
      <c r="I342" s="46"/>
      <c r="J342" s="46"/>
      <c r="K342" s="46"/>
      <c r="L342" s="46"/>
      <c r="M342" s="46"/>
      <c r="N342" s="46"/>
      <c r="O342" s="46"/>
      <c r="P342" s="46"/>
      <c r="Q342" s="46"/>
      <c r="R342" s="46"/>
      <c r="S342" s="46"/>
      <c r="T342" s="46"/>
      <c r="U342" s="46"/>
      <c r="V342" s="46"/>
    </row>
    <row r="343" ht="15.75" customHeight="1">
      <c r="A343" s="46"/>
      <c r="B343" s="119"/>
      <c r="C343" s="46"/>
      <c r="D343" s="120"/>
      <c r="E343" s="62"/>
      <c r="F343" s="46"/>
      <c r="G343" s="46"/>
      <c r="H343" s="46"/>
      <c r="I343" s="46"/>
      <c r="J343" s="46"/>
      <c r="K343" s="46"/>
      <c r="L343" s="46"/>
      <c r="M343" s="46"/>
      <c r="N343" s="46"/>
      <c r="O343" s="46"/>
      <c r="P343" s="46"/>
      <c r="Q343" s="46"/>
      <c r="R343" s="46"/>
      <c r="S343" s="46"/>
      <c r="T343" s="46"/>
      <c r="U343" s="46"/>
      <c r="V343" s="46"/>
    </row>
    <row r="344" ht="15.75" customHeight="1">
      <c r="A344" s="46"/>
      <c r="B344" s="119"/>
      <c r="C344" s="46"/>
      <c r="D344" s="120"/>
      <c r="E344" s="62"/>
      <c r="F344" s="46"/>
      <c r="G344" s="46"/>
      <c r="H344" s="46"/>
      <c r="I344" s="46"/>
      <c r="J344" s="46"/>
      <c r="K344" s="46"/>
      <c r="L344" s="46"/>
      <c r="M344" s="46"/>
      <c r="N344" s="46"/>
      <c r="O344" s="46"/>
      <c r="P344" s="46"/>
      <c r="Q344" s="46"/>
      <c r="R344" s="46"/>
      <c r="S344" s="46"/>
      <c r="T344" s="46"/>
      <c r="U344" s="46"/>
      <c r="V344" s="46"/>
    </row>
    <row r="345" ht="15.75" customHeight="1">
      <c r="A345" s="46"/>
      <c r="B345" s="119"/>
      <c r="C345" s="46"/>
      <c r="D345" s="120"/>
      <c r="E345" s="62"/>
      <c r="F345" s="46"/>
      <c r="G345" s="46"/>
      <c r="H345" s="46"/>
      <c r="I345" s="46"/>
      <c r="J345" s="46"/>
      <c r="K345" s="46"/>
      <c r="L345" s="46"/>
      <c r="M345" s="46"/>
      <c r="N345" s="46"/>
      <c r="O345" s="46"/>
      <c r="P345" s="46"/>
      <c r="Q345" s="46"/>
      <c r="R345" s="46"/>
      <c r="S345" s="46"/>
      <c r="T345" s="46"/>
      <c r="U345" s="46"/>
      <c r="V345" s="46"/>
    </row>
    <row r="346" ht="15.75" customHeight="1">
      <c r="A346" s="46"/>
      <c r="B346" s="119"/>
      <c r="C346" s="46"/>
      <c r="D346" s="120"/>
      <c r="E346" s="62"/>
      <c r="F346" s="46"/>
      <c r="G346" s="46"/>
      <c r="H346" s="46"/>
      <c r="I346" s="46"/>
      <c r="J346" s="46"/>
      <c r="K346" s="46"/>
      <c r="L346" s="46"/>
      <c r="M346" s="46"/>
      <c r="N346" s="46"/>
      <c r="O346" s="46"/>
      <c r="P346" s="46"/>
      <c r="Q346" s="46"/>
      <c r="R346" s="46"/>
      <c r="S346" s="46"/>
      <c r="T346" s="46"/>
      <c r="U346" s="46"/>
      <c r="V346" s="46"/>
    </row>
    <row r="347" ht="15.75" customHeight="1">
      <c r="A347" s="46"/>
      <c r="B347" s="119"/>
      <c r="C347" s="46"/>
      <c r="D347" s="120"/>
      <c r="E347" s="62"/>
      <c r="F347" s="46"/>
      <c r="G347" s="46"/>
      <c r="H347" s="46"/>
      <c r="I347" s="46"/>
      <c r="J347" s="46"/>
      <c r="K347" s="46"/>
      <c r="L347" s="46"/>
      <c r="M347" s="46"/>
      <c r="N347" s="46"/>
      <c r="O347" s="46"/>
      <c r="P347" s="46"/>
      <c r="Q347" s="46"/>
      <c r="R347" s="46"/>
      <c r="S347" s="46"/>
      <c r="T347" s="46"/>
      <c r="U347" s="46"/>
      <c r="V347" s="46"/>
    </row>
    <row r="348" ht="15.75" customHeight="1">
      <c r="A348" s="46"/>
      <c r="B348" s="119"/>
      <c r="C348" s="46"/>
      <c r="D348" s="120"/>
      <c r="E348" s="62"/>
      <c r="F348" s="46"/>
      <c r="G348" s="46"/>
      <c r="H348" s="46"/>
      <c r="I348" s="46"/>
      <c r="J348" s="46"/>
      <c r="K348" s="46"/>
      <c r="L348" s="46"/>
      <c r="M348" s="46"/>
      <c r="N348" s="46"/>
      <c r="O348" s="46"/>
      <c r="P348" s="46"/>
      <c r="Q348" s="46"/>
      <c r="R348" s="46"/>
      <c r="S348" s="46"/>
      <c r="T348" s="46"/>
      <c r="U348" s="46"/>
      <c r="V348" s="46"/>
    </row>
    <row r="349" ht="15.75" customHeight="1">
      <c r="A349" s="46"/>
      <c r="B349" s="119"/>
      <c r="C349" s="46"/>
      <c r="D349" s="120"/>
      <c r="E349" s="62"/>
      <c r="F349" s="46"/>
      <c r="G349" s="46"/>
      <c r="H349" s="46"/>
      <c r="I349" s="46"/>
      <c r="J349" s="46"/>
      <c r="K349" s="46"/>
      <c r="L349" s="46"/>
      <c r="M349" s="46"/>
      <c r="N349" s="46"/>
      <c r="O349" s="46"/>
      <c r="P349" s="46"/>
      <c r="Q349" s="46"/>
      <c r="R349" s="46"/>
      <c r="S349" s="46"/>
      <c r="T349" s="46"/>
      <c r="U349" s="46"/>
      <c r="V349" s="46"/>
    </row>
    <row r="350" ht="15.75" customHeight="1">
      <c r="A350" s="46"/>
      <c r="B350" s="119"/>
      <c r="C350" s="46"/>
      <c r="D350" s="120"/>
      <c r="E350" s="62"/>
      <c r="F350" s="46"/>
      <c r="G350" s="46"/>
      <c r="H350" s="46"/>
      <c r="I350" s="46"/>
      <c r="J350" s="46"/>
      <c r="K350" s="46"/>
      <c r="L350" s="46"/>
      <c r="M350" s="46"/>
      <c r="N350" s="46"/>
      <c r="O350" s="46"/>
      <c r="P350" s="46"/>
      <c r="Q350" s="46"/>
      <c r="R350" s="46"/>
      <c r="S350" s="46"/>
      <c r="T350" s="46"/>
      <c r="U350" s="46"/>
      <c r="V350" s="46"/>
    </row>
    <row r="351" ht="15.75" customHeight="1">
      <c r="A351" s="46"/>
      <c r="B351" s="119"/>
      <c r="C351" s="46"/>
      <c r="D351" s="120"/>
      <c r="E351" s="62"/>
      <c r="F351" s="46"/>
      <c r="G351" s="46"/>
      <c r="H351" s="46"/>
      <c r="I351" s="46"/>
      <c r="J351" s="46"/>
      <c r="K351" s="46"/>
      <c r="L351" s="46"/>
      <c r="M351" s="46"/>
      <c r="N351" s="46"/>
      <c r="O351" s="46"/>
      <c r="P351" s="46"/>
      <c r="Q351" s="46"/>
      <c r="R351" s="46"/>
      <c r="S351" s="46"/>
      <c r="T351" s="46"/>
      <c r="U351" s="46"/>
      <c r="V351" s="46"/>
    </row>
    <row r="352" ht="15.75" customHeight="1">
      <c r="A352" s="46"/>
      <c r="B352" s="119"/>
      <c r="C352" s="46"/>
      <c r="D352" s="120"/>
      <c r="E352" s="62"/>
      <c r="F352" s="46"/>
      <c r="G352" s="46"/>
      <c r="H352" s="46"/>
      <c r="I352" s="46"/>
      <c r="J352" s="46"/>
      <c r="K352" s="46"/>
      <c r="L352" s="46"/>
      <c r="M352" s="46"/>
      <c r="N352" s="46"/>
      <c r="O352" s="46"/>
      <c r="P352" s="46"/>
      <c r="Q352" s="46"/>
      <c r="R352" s="46"/>
      <c r="S352" s="46"/>
      <c r="T352" s="46"/>
      <c r="U352" s="46"/>
      <c r="V352" s="46"/>
    </row>
    <row r="353" ht="15.75" customHeight="1">
      <c r="A353" s="46"/>
      <c r="B353" s="119"/>
      <c r="C353" s="46"/>
      <c r="D353" s="120"/>
      <c r="E353" s="62"/>
      <c r="F353" s="46"/>
      <c r="G353" s="46"/>
      <c r="H353" s="46"/>
      <c r="I353" s="46"/>
      <c r="J353" s="46"/>
      <c r="K353" s="46"/>
      <c r="L353" s="46"/>
      <c r="M353" s="46"/>
      <c r="N353" s="46"/>
      <c r="O353" s="46"/>
      <c r="P353" s="46"/>
      <c r="Q353" s="46"/>
      <c r="R353" s="46"/>
      <c r="S353" s="46"/>
      <c r="T353" s="46"/>
      <c r="U353" s="46"/>
      <c r="V353" s="46"/>
    </row>
    <row r="354" ht="15.75" customHeight="1">
      <c r="A354" s="46"/>
      <c r="B354" s="119"/>
      <c r="C354" s="46"/>
      <c r="D354" s="120"/>
      <c r="E354" s="62"/>
      <c r="F354" s="46"/>
      <c r="G354" s="46"/>
      <c r="H354" s="46"/>
      <c r="I354" s="46"/>
      <c r="J354" s="46"/>
      <c r="K354" s="46"/>
      <c r="L354" s="46"/>
      <c r="M354" s="46"/>
      <c r="N354" s="46"/>
      <c r="O354" s="46"/>
      <c r="P354" s="46"/>
      <c r="Q354" s="46"/>
      <c r="R354" s="46"/>
      <c r="S354" s="46"/>
      <c r="T354" s="46"/>
      <c r="U354" s="46"/>
      <c r="V354" s="46"/>
    </row>
    <row r="355" ht="15.75" customHeight="1">
      <c r="A355" s="46"/>
      <c r="B355" s="119"/>
      <c r="C355" s="46"/>
      <c r="D355" s="120"/>
      <c r="E355" s="62"/>
      <c r="F355" s="46"/>
      <c r="G355" s="46"/>
      <c r="H355" s="46"/>
      <c r="I355" s="46"/>
      <c r="J355" s="46"/>
      <c r="K355" s="46"/>
      <c r="L355" s="46"/>
      <c r="M355" s="46"/>
      <c r="N355" s="46"/>
      <c r="O355" s="46"/>
      <c r="P355" s="46"/>
      <c r="Q355" s="46"/>
      <c r="R355" s="46"/>
      <c r="S355" s="46"/>
      <c r="T355" s="46"/>
      <c r="U355" s="46"/>
      <c r="V355" s="46"/>
    </row>
    <row r="356" ht="15.75" customHeight="1">
      <c r="A356" s="46"/>
      <c r="B356" s="119"/>
      <c r="C356" s="46"/>
      <c r="D356" s="120"/>
      <c r="E356" s="62"/>
      <c r="F356" s="46"/>
      <c r="G356" s="46"/>
      <c r="H356" s="46"/>
      <c r="I356" s="46"/>
      <c r="J356" s="46"/>
      <c r="K356" s="46"/>
      <c r="L356" s="46"/>
      <c r="M356" s="46"/>
      <c r="N356" s="46"/>
      <c r="O356" s="46"/>
      <c r="P356" s="46"/>
      <c r="Q356" s="46"/>
      <c r="R356" s="46"/>
      <c r="S356" s="46"/>
      <c r="T356" s="46"/>
      <c r="U356" s="46"/>
      <c r="V356" s="46"/>
    </row>
    <row r="357" ht="15.75" customHeight="1">
      <c r="A357" s="46"/>
      <c r="B357" s="119"/>
      <c r="C357" s="46"/>
      <c r="D357" s="120"/>
      <c r="E357" s="62"/>
      <c r="F357" s="46"/>
      <c r="G357" s="46"/>
      <c r="H357" s="46"/>
      <c r="I357" s="46"/>
      <c r="J357" s="46"/>
      <c r="K357" s="46"/>
      <c r="L357" s="46"/>
      <c r="M357" s="46"/>
      <c r="N357" s="46"/>
      <c r="O357" s="46"/>
      <c r="P357" s="46"/>
      <c r="Q357" s="46"/>
      <c r="R357" s="46"/>
      <c r="S357" s="46"/>
      <c r="T357" s="46"/>
      <c r="U357" s="46"/>
      <c r="V357" s="46"/>
    </row>
    <row r="358" ht="15.75" customHeight="1">
      <c r="A358" s="46"/>
      <c r="B358" s="119"/>
      <c r="C358" s="46"/>
      <c r="D358" s="120"/>
      <c r="E358" s="62"/>
      <c r="F358" s="46"/>
      <c r="G358" s="46"/>
      <c r="H358" s="46"/>
      <c r="I358" s="46"/>
      <c r="J358" s="46"/>
      <c r="K358" s="46"/>
      <c r="L358" s="46"/>
      <c r="M358" s="46"/>
      <c r="N358" s="46"/>
      <c r="O358" s="46"/>
      <c r="P358" s="46"/>
      <c r="Q358" s="46"/>
      <c r="R358" s="46"/>
      <c r="S358" s="46"/>
      <c r="T358" s="46"/>
      <c r="U358" s="46"/>
      <c r="V358" s="46"/>
    </row>
    <row r="359" ht="15.75" customHeight="1">
      <c r="A359" s="46"/>
      <c r="B359" s="119"/>
      <c r="C359" s="46"/>
      <c r="D359" s="120"/>
      <c r="E359" s="62"/>
      <c r="F359" s="46"/>
      <c r="G359" s="46"/>
      <c r="H359" s="46"/>
      <c r="I359" s="46"/>
      <c r="J359" s="46"/>
      <c r="K359" s="46"/>
      <c r="L359" s="46"/>
      <c r="M359" s="46"/>
      <c r="N359" s="46"/>
      <c r="O359" s="46"/>
      <c r="P359" s="46"/>
      <c r="Q359" s="46"/>
      <c r="R359" s="46"/>
      <c r="S359" s="46"/>
      <c r="T359" s="46"/>
      <c r="U359" s="46"/>
      <c r="V359" s="46"/>
    </row>
    <row r="360" ht="15.75" customHeight="1">
      <c r="A360" s="46"/>
      <c r="B360" s="119"/>
      <c r="C360" s="46"/>
      <c r="D360" s="120"/>
      <c r="E360" s="62"/>
      <c r="F360" s="46"/>
      <c r="G360" s="46"/>
      <c r="H360" s="46"/>
      <c r="I360" s="46"/>
      <c r="J360" s="46"/>
      <c r="K360" s="46"/>
      <c r="L360" s="46"/>
      <c r="M360" s="46"/>
      <c r="N360" s="46"/>
      <c r="O360" s="46"/>
      <c r="P360" s="46"/>
      <c r="Q360" s="46"/>
      <c r="R360" s="46"/>
      <c r="S360" s="46"/>
      <c r="T360" s="46"/>
      <c r="U360" s="46"/>
      <c r="V360" s="46"/>
    </row>
    <row r="361" ht="15.75" customHeight="1">
      <c r="A361" s="46"/>
      <c r="B361" s="119"/>
      <c r="C361" s="46"/>
      <c r="D361" s="120"/>
      <c r="E361" s="62"/>
      <c r="F361" s="46"/>
      <c r="G361" s="46"/>
      <c r="H361" s="46"/>
      <c r="I361" s="46"/>
      <c r="J361" s="46"/>
      <c r="K361" s="46"/>
      <c r="L361" s="46"/>
      <c r="M361" s="46"/>
      <c r="N361" s="46"/>
      <c r="O361" s="46"/>
      <c r="P361" s="46"/>
      <c r="Q361" s="46"/>
      <c r="R361" s="46"/>
      <c r="S361" s="46"/>
      <c r="T361" s="46"/>
      <c r="U361" s="46"/>
      <c r="V361" s="46"/>
    </row>
    <row r="362" ht="15.75" customHeight="1">
      <c r="A362" s="46"/>
      <c r="B362" s="119"/>
      <c r="C362" s="46"/>
      <c r="D362" s="120"/>
      <c r="E362" s="62"/>
      <c r="F362" s="46"/>
      <c r="G362" s="46"/>
      <c r="H362" s="46"/>
      <c r="I362" s="46"/>
      <c r="J362" s="46"/>
      <c r="K362" s="46"/>
      <c r="L362" s="46"/>
      <c r="M362" s="46"/>
      <c r="N362" s="46"/>
      <c r="O362" s="46"/>
      <c r="P362" s="46"/>
      <c r="Q362" s="46"/>
      <c r="R362" s="46"/>
      <c r="S362" s="46"/>
      <c r="T362" s="46"/>
      <c r="U362" s="46"/>
      <c r="V362" s="46"/>
    </row>
    <row r="363" ht="15.75" customHeight="1">
      <c r="A363" s="46"/>
      <c r="B363" s="119"/>
      <c r="C363" s="46"/>
      <c r="D363" s="120"/>
      <c r="E363" s="62"/>
      <c r="F363" s="46"/>
      <c r="G363" s="46"/>
      <c r="H363" s="46"/>
      <c r="I363" s="46"/>
      <c r="J363" s="46"/>
      <c r="K363" s="46"/>
      <c r="L363" s="46"/>
      <c r="M363" s="46"/>
      <c r="N363" s="46"/>
      <c r="O363" s="46"/>
      <c r="P363" s="46"/>
      <c r="Q363" s="46"/>
      <c r="R363" s="46"/>
      <c r="S363" s="46"/>
      <c r="T363" s="46"/>
      <c r="U363" s="46"/>
      <c r="V363" s="46"/>
    </row>
    <row r="364" ht="15.75" customHeight="1">
      <c r="A364" s="46"/>
      <c r="B364" s="119"/>
      <c r="C364" s="46"/>
      <c r="D364" s="120"/>
      <c r="E364" s="62"/>
      <c r="F364" s="46"/>
      <c r="G364" s="46"/>
      <c r="H364" s="46"/>
      <c r="I364" s="46"/>
      <c r="J364" s="46"/>
      <c r="K364" s="46"/>
      <c r="L364" s="46"/>
      <c r="M364" s="46"/>
      <c r="N364" s="46"/>
      <c r="O364" s="46"/>
      <c r="P364" s="46"/>
      <c r="Q364" s="46"/>
      <c r="R364" s="46"/>
      <c r="S364" s="46"/>
      <c r="T364" s="46"/>
      <c r="U364" s="46"/>
      <c r="V364" s="46"/>
    </row>
    <row r="365" ht="15.75" customHeight="1">
      <c r="A365" s="46"/>
      <c r="B365" s="119"/>
      <c r="C365" s="46"/>
      <c r="D365" s="120"/>
      <c r="E365" s="62"/>
      <c r="F365" s="46"/>
      <c r="G365" s="46"/>
      <c r="H365" s="46"/>
      <c r="I365" s="46"/>
      <c r="J365" s="46"/>
      <c r="K365" s="46"/>
      <c r="L365" s="46"/>
      <c r="M365" s="46"/>
      <c r="N365" s="46"/>
      <c r="O365" s="46"/>
      <c r="P365" s="46"/>
      <c r="Q365" s="46"/>
      <c r="R365" s="46"/>
      <c r="S365" s="46"/>
      <c r="T365" s="46"/>
      <c r="U365" s="46"/>
      <c r="V365" s="46"/>
    </row>
    <row r="366" ht="15.75" customHeight="1">
      <c r="A366" s="46"/>
      <c r="B366" s="119"/>
      <c r="C366" s="46"/>
      <c r="D366" s="120"/>
      <c r="E366" s="62"/>
      <c r="F366" s="46"/>
      <c r="G366" s="46"/>
      <c r="H366" s="46"/>
      <c r="I366" s="46"/>
      <c r="J366" s="46"/>
      <c r="K366" s="46"/>
      <c r="L366" s="46"/>
      <c r="M366" s="46"/>
      <c r="N366" s="46"/>
      <c r="O366" s="46"/>
      <c r="P366" s="46"/>
      <c r="Q366" s="46"/>
      <c r="R366" s="46"/>
      <c r="S366" s="46"/>
      <c r="T366" s="46"/>
      <c r="U366" s="46"/>
      <c r="V366" s="46"/>
    </row>
    <row r="367" ht="15.75" customHeight="1">
      <c r="A367" s="46"/>
      <c r="B367" s="119"/>
      <c r="C367" s="46"/>
      <c r="D367" s="120"/>
      <c r="E367" s="62"/>
      <c r="F367" s="46"/>
      <c r="G367" s="46"/>
      <c r="H367" s="46"/>
      <c r="I367" s="46"/>
      <c r="J367" s="46"/>
      <c r="K367" s="46"/>
      <c r="L367" s="46"/>
      <c r="M367" s="46"/>
      <c r="N367" s="46"/>
      <c r="O367" s="46"/>
      <c r="P367" s="46"/>
      <c r="Q367" s="46"/>
      <c r="R367" s="46"/>
      <c r="S367" s="46"/>
      <c r="T367" s="46"/>
      <c r="U367" s="46"/>
      <c r="V367" s="46"/>
    </row>
    <row r="368" ht="15.75" customHeight="1">
      <c r="A368" s="46"/>
      <c r="B368" s="119"/>
      <c r="C368" s="46"/>
      <c r="D368" s="120"/>
      <c r="E368" s="62"/>
      <c r="F368" s="46"/>
      <c r="G368" s="46"/>
      <c r="H368" s="46"/>
      <c r="I368" s="46"/>
      <c r="J368" s="46"/>
      <c r="K368" s="46"/>
      <c r="L368" s="46"/>
      <c r="M368" s="46"/>
      <c r="N368" s="46"/>
      <c r="O368" s="46"/>
      <c r="P368" s="46"/>
      <c r="Q368" s="46"/>
      <c r="R368" s="46"/>
      <c r="S368" s="46"/>
      <c r="T368" s="46"/>
      <c r="U368" s="46"/>
      <c r="V368" s="46"/>
    </row>
    <row r="369" ht="15.75" customHeight="1">
      <c r="A369" s="46"/>
      <c r="B369" s="119"/>
      <c r="C369" s="46"/>
      <c r="D369" s="120"/>
      <c r="E369" s="62"/>
      <c r="F369" s="46"/>
      <c r="G369" s="46"/>
      <c r="H369" s="46"/>
      <c r="I369" s="46"/>
      <c r="J369" s="46"/>
      <c r="K369" s="46"/>
      <c r="L369" s="46"/>
      <c r="M369" s="46"/>
      <c r="N369" s="46"/>
      <c r="O369" s="46"/>
      <c r="P369" s="46"/>
      <c r="Q369" s="46"/>
      <c r="R369" s="46"/>
      <c r="S369" s="46"/>
      <c r="T369" s="46"/>
      <c r="U369" s="46"/>
      <c r="V369" s="46"/>
    </row>
    <row r="370" ht="15.75" customHeight="1">
      <c r="A370" s="46"/>
      <c r="B370" s="119"/>
      <c r="C370" s="46"/>
      <c r="D370" s="120"/>
      <c r="E370" s="62"/>
      <c r="F370" s="46"/>
      <c r="G370" s="46"/>
      <c r="H370" s="46"/>
      <c r="I370" s="46"/>
      <c r="J370" s="46"/>
      <c r="K370" s="46"/>
      <c r="L370" s="46"/>
      <c r="M370" s="46"/>
      <c r="N370" s="46"/>
      <c r="O370" s="46"/>
      <c r="P370" s="46"/>
      <c r="Q370" s="46"/>
      <c r="R370" s="46"/>
      <c r="S370" s="46"/>
      <c r="T370" s="46"/>
      <c r="U370" s="46"/>
      <c r="V370" s="46"/>
    </row>
    <row r="371" ht="15.75" customHeight="1">
      <c r="A371" s="46"/>
      <c r="B371" s="119"/>
      <c r="C371" s="46"/>
      <c r="D371" s="120"/>
      <c r="E371" s="62"/>
      <c r="F371" s="46"/>
      <c r="G371" s="46"/>
      <c r="H371" s="46"/>
      <c r="I371" s="46"/>
      <c r="J371" s="46"/>
      <c r="K371" s="46"/>
      <c r="L371" s="46"/>
      <c r="M371" s="46"/>
      <c r="N371" s="46"/>
      <c r="O371" s="46"/>
      <c r="P371" s="46"/>
      <c r="Q371" s="46"/>
      <c r="R371" s="46"/>
      <c r="S371" s="46"/>
      <c r="T371" s="46"/>
      <c r="U371" s="46"/>
      <c r="V371" s="46"/>
    </row>
    <row r="372" ht="15.75" customHeight="1">
      <c r="A372" s="46"/>
      <c r="B372" s="119"/>
      <c r="C372" s="46"/>
      <c r="D372" s="120"/>
      <c r="E372" s="62"/>
      <c r="F372" s="46"/>
      <c r="G372" s="46"/>
      <c r="H372" s="46"/>
      <c r="I372" s="46"/>
      <c r="J372" s="46"/>
      <c r="K372" s="46"/>
      <c r="L372" s="46"/>
      <c r="M372" s="46"/>
      <c r="N372" s="46"/>
      <c r="O372" s="46"/>
      <c r="P372" s="46"/>
      <c r="Q372" s="46"/>
      <c r="R372" s="46"/>
      <c r="S372" s="46"/>
      <c r="T372" s="46"/>
      <c r="U372" s="46"/>
      <c r="V372" s="46"/>
    </row>
    <row r="373" ht="15.75" customHeight="1">
      <c r="A373" s="46"/>
      <c r="B373" s="119"/>
      <c r="C373" s="46"/>
      <c r="D373" s="120"/>
      <c r="E373" s="62"/>
      <c r="F373" s="46"/>
      <c r="G373" s="46"/>
      <c r="H373" s="46"/>
      <c r="I373" s="46"/>
      <c r="J373" s="46"/>
      <c r="K373" s="46"/>
      <c r="L373" s="46"/>
      <c r="M373" s="46"/>
      <c r="N373" s="46"/>
      <c r="O373" s="46"/>
      <c r="P373" s="46"/>
      <c r="Q373" s="46"/>
      <c r="R373" s="46"/>
      <c r="S373" s="46"/>
      <c r="T373" s="46"/>
      <c r="U373" s="46"/>
      <c r="V373" s="46"/>
    </row>
    <row r="374" ht="15.75" customHeight="1">
      <c r="A374" s="46"/>
      <c r="B374" s="119"/>
      <c r="C374" s="46"/>
      <c r="D374" s="120"/>
      <c r="E374" s="62"/>
      <c r="F374" s="46"/>
      <c r="G374" s="46"/>
      <c r="H374" s="46"/>
      <c r="I374" s="46"/>
      <c r="J374" s="46"/>
      <c r="K374" s="46"/>
      <c r="L374" s="46"/>
      <c r="M374" s="46"/>
      <c r="N374" s="46"/>
      <c r="O374" s="46"/>
      <c r="P374" s="46"/>
      <c r="Q374" s="46"/>
      <c r="R374" s="46"/>
      <c r="S374" s="46"/>
      <c r="T374" s="46"/>
      <c r="U374" s="46"/>
      <c r="V374" s="46"/>
    </row>
    <row r="375" ht="15.75" customHeight="1">
      <c r="A375" s="46"/>
      <c r="B375" s="119"/>
      <c r="C375" s="46"/>
      <c r="D375" s="120"/>
      <c r="E375" s="62"/>
      <c r="F375" s="46"/>
      <c r="G375" s="46"/>
      <c r="H375" s="46"/>
      <c r="I375" s="46"/>
      <c r="J375" s="46"/>
      <c r="K375" s="46"/>
      <c r="L375" s="46"/>
      <c r="M375" s="46"/>
      <c r="N375" s="46"/>
      <c r="O375" s="46"/>
      <c r="P375" s="46"/>
      <c r="Q375" s="46"/>
      <c r="R375" s="46"/>
      <c r="S375" s="46"/>
      <c r="T375" s="46"/>
      <c r="U375" s="46"/>
      <c r="V375" s="46"/>
    </row>
    <row r="376" ht="15.75" customHeight="1">
      <c r="A376" s="46"/>
      <c r="B376" s="119"/>
      <c r="C376" s="46"/>
      <c r="D376" s="120"/>
      <c r="E376" s="62"/>
      <c r="F376" s="46"/>
      <c r="G376" s="46"/>
      <c r="H376" s="46"/>
      <c r="I376" s="46"/>
      <c r="J376" s="46"/>
      <c r="K376" s="46"/>
      <c r="L376" s="46"/>
      <c r="M376" s="46"/>
      <c r="N376" s="46"/>
      <c r="O376" s="46"/>
      <c r="P376" s="46"/>
      <c r="Q376" s="46"/>
      <c r="R376" s="46"/>
      <c r="S376" s="46"/>
      <c r="T376" s="46"/>
      <c r="U376" s="46"/>
      <c r="V376" s="46"/>
    </row>
    <row r="377" ht="15.75" customHeight="1">
      <c r="A377" s="46"/>
      <c r="B377" s="119"/>
      <c r="C377" s="46"/>
      <c r="D377" s="120"/>
      <c r="E377" s="62"/>
      <c r="F377" s="46"/>
      <c r="G377" s="46"/>
      <c r="H377" s="46"/>
      <c r="I377" s="46"/>
      <c r="J377" s="46"/>
      <c r="K377" s="46"/>
      <c r="L377" s="46"/>
      <c r="M377" s="46"/>
      <c r="N377" s="46"/>
      <c r="O377" s="46"/>
      <c r="P377" s="46"/>
      <c r="Q377" s="46"/>
      <c r="R377" s="46"/>
      <c r="S377" s="46"/>
      <c r="T377" s="46"/>
      <c r="U377" s="46"/>
      <c r="V377" s="46"/>
    </row>
    <row r="378" ht="15.75" customHeight="1">
      <c r="A378" s="46"/>
      <c r="B378" s="119"/>
      <c r="C378" s="46"/>
      <c r="D378" s="120"/>
      <c r="E378" s="62"/>
      <c r="F378" s="46"/>
      <c r="G378" s="46"/>
      <c r="H378" s="46"/>
      <c r="I378" s="46"/>
      <c r="J378" s="46"/>
      <c r="K378" s="46"/>
      <c r="L378" s="46"/>
      <c r="M378" s="46"/>
      <c r="N378" s="46"/>
      <c r="O378" s="46"/>
      <c r="P378" s="46"/>
      <c r="Q378" s="46"/>
      <c r="R378" s="46"/>
      <c r="S378" s="46"/>
      <c r="T378" s="46"/>
      <c r="U378" s="46"/>
      <c r="V378" s="46"/>
    </row>
    <row r="379" ht="15.75" customHeight="1">
      <c r="A379" s="46"/>
      <c r="B379" s="119"/>
      <c r="C379" s="46"/>
      <c r="D379" s="120"/>
      <c r="E379" s="62"/>
      <c r="F379" s="46"/>
      <c r="G379" s="46"/>
      <c r="H379" s="46"/>
      <c r="I379" s="46"/>
      <c r="J379" s="46"/>
      <c r="K379" s="46"/>
      <c r="L379" s="46"/>
      <c r="M379" s="46"/>
      <c r="N379" s="46"/>
      <c r="O379" s="46"/>
      <c r="P379" s="46"/>
      <c r="Q379" s="46"/>
      <c r="R379" s="46"/>
      <c r="S379" s="46"/>
      <c r="T379" s="46"/>
      <c r="U379" s="46"/>
      <c r="V379" s="46"/>
    </row>
    <row r="380" ht="15.75" customHeight="1">
      <c r="A380" s="46"/>
      <c r="B380" s="119"/>
      <c r="C380" s="46"/>
      <c r="D380" s="120"/>
      <c r="E380" s="62"/>
      <c r="F380" s="46"/>
      <c r="G380" s="46"/>
      <c r="H380" s="46"/>
      <c r="I380" s="46"/>
      <c r="J380" s="46"/>
      <c r="K380" s="46"/>
      <c r="L380" s="46"/>
      <c r="M380" s="46"/>
      <c r="N380" s="46"/>
      <c r="O380" s="46"/>
      <c r="P380" s="46"/>
      <c r="Q380" s="46"/>
      <c r="R380" s="46"/>
      <c r="S380" s="46"/>
      <c r="T380" s="46"/>
      <c r="U380" s="46"/>
      <c r="V380" s="46"/>
    </row>
    <row r="381" ht="15.75" customHeight="1">
      <c r="A381" s="46"/>
      <c r="B381" s="119"/>
      <c r="C381" s="46"/>
      <c r="D381" s="120"/>
      <c r="E381" s="62"/>
      <c r="F381" s="46"/>
      <c r="G381" s="46"/>
      <c r="H381" s="46"/>
      <c r="I381" s="46"/>
      <c r="J381" s="46"/>
      <c r="K381" s="46"/>
      <c r="L381" s="46"/>
      <c r="M381" s="46"/>
      <c r="N381" s="46"/>
      <c r="O381" s="46"/>
      <c r="P381" s="46"/>
      <c r="Q381" s="46"/>
      <c r="R381" s="46"/>
      <c r="S381" s="46"/>
      <c r="T381" s="46"/>
      <c r="U381" s="46"/>
      <c r="V381" s="46"/>
    </row>
    <row r="382" ht="15.75" customHeight="1">
      <c r="A382" s="46"/>
      <c r="B382" s="119"/>
      <c r="C382" s="46"/>
      <c r="D382" s="120"/>
      <c r="E382" s="62"/>
      <c r="F382" s="46"/>
      <c r="G382" s="46"/>
      <c r="H382" s="46"/>
      <c r="I382" s="46"/>
      <c r="J382" s="46"/>
      <c r="K382" s="46"/>
      <c r="L382" s="46"/>
      <c r="M382" s="46"/>
      <c r="N382" s="46"/>
      <c r="O382" s="46"/>
      <c r="P382" s="46"/>
      <c r="Q382" s="46"/>
      <c r="R382" s="46"/>
      <c r="S382" s="46"/>
      <c r="T382" s="46"/>
      <c r="U382" s="46"/>
      <c r="V382" s="46"/>
    </row>
    <row r="383" ht="15.75" customHeight="1">
      <c r="A383" s="46"/>
      <c r="B383" s="119"/>
      <c r="C383" s="46"/>
      <c r="D383" s="120"/>
      <c r="E383" s="62"/>
      <c r="F383" s="46"/>
      <c r="G383" s="46"/>
      <c r="H383" s="46"/>
      <c r="I383" s="46"/>
      <c r="J383" s="46"/>
      <c r="K383" s="46"/>
      <c r="L383" s="46"/>
      <c r="M383" s="46"/>
      <c r="N383" s="46"/>
      <c r="O383" s="46"/>
      <c r="P383" s="46"/>
      <c r="Q383" s="46"/>
      <c r="R383" s="46"/>
      <c r="S383" s="46"/>
      <c r="T383" s="46"/>
      <c r="U383" s="46"/>
      <c r="V383" s="46"/>
    </row>
    <row r="384" ht="15.75" customHeight="1">
      <c r="A384" s="46"/>
      <c r="B384" s="119"/>
      <c r="C384" s="46"/>
      <c r="D384" s="120"/>
      <c r="E384" s="62"/>
      <c r="F384" s="46"/>
      <c r="G384" s="46"/>
      <c r="H384" s="46"/>
      <c r="I384" s="46"/>
      <c r="J384" s="46"/>
      <c r="K384" s="46"/>
      <c r="L384" s="46"/>
      <c r="M384" s="46"/>
      <c r="N384" s="46"/>
      <c r="O384" s="46"/>
      <c r="P384" s="46"/>
      <c r="Q384" s="46"/>
      <c r="R384" s="46"/>
      <c r="S384" s="46"/>
      <c r="T384" s="46"/>
      <c r="U384" s="46"/>
      <c r="V384" s="46"/>
    </row>
    <row r="385" ht="15.75" customHeight="1">
      <c r="A385" s="46"/>
      <c r="B385" s="119"/>
      <c r="C385" s="46"/>
      <c r="D385" s="120"/>
      <c r="E385" s="62"/>
      <c r="F385" s="46"/>
      <c r="G385" s="46"/>
      <c r="H385" s="46"/>
      <c r="I385" s="46"/>
      <c r="J385" s="46"/>
      <c r="K385" s="46"/>
      <c r="L385" s="46"/>
      <c r="M385" s="46"/>
      <c r="N385" s="46"/>
      <c r="O385" s="46"/>
      <c r="P385" s="46"/>
      <c r="Q385" s="46"/>
      <c r="R385" s="46"/>
      <c r="S385" s="46"/>
      <c r="T385" s="46"/>
      <c r="U385" s="46"/>
      <c r="V385" s="46"/>
    </row>
    <row r="386" ht="15.75" customHeight="1">
      <c r="A386" s="46"/>
      <c r="B386" s="119"/>
      <c r="C386" s="46"/>
      <c r="D386" s="120"/>
      <c r="E386" s="62"/>
      <c r="F386" s="46"/>
      <c r="G386" s="46"/>
      <c r="H386" s="46"/>
      <c r="I386" s="46"/>
      <c r="J386" s="46"/>
      <c r="K386" s="46"/>
      <c r="L386" s="46"/>
      <c r="M386" s="46"/>
      <c r="N386" s="46"/>
      <c r="O386" s="46"/>
      <c r="P386" s="46"/>
      <c r="Q386" s="46"/>
      <c r="R386" s="46"/>
      <c r="S386" s="46"/>
      <c r="T386" s="46"/>
      <c r="U386" s="46"/>
      <c r="V386" s="46"/>
    </row>
    <row r="387" ht="15.75" customHeight="1">
      <c r="A387" s="46"/>
      <c r="B387" s="119"/>
      <c r="C387" s="46"/>
      <c r="D387" s="120"/>
      <c r="E387" s="62"/>
      <c r="F387" s="46"/>
      <c r="G387" s="46"/>
      <c r="H387" s="46"/>
      <c r="I387" s="46"/>
      <c r="J387" s="46"/>
      <c r="K387" s="46"/>
      <c r="L387" s="46"/>
      <c r="M387" s="46"/>
      <c r="N387" s="46"/>
      <c r="O387" s="46"/>
      <c r="P387" s="46"/>
      <c r="Q387" s="46"/>
      <c r="R387" s="46"/>
      <c r="S387" s="46"/>
      <c r="T387" s="46"/>
      <c r="U387" s="46"/>
      <c r="V387" s="46"/>
    </row>
    <row r="388" ht="15.75" customHeight="1">
      <c r="A388" s="46"/>
      <c r="B388" s="119"/>
      <c r="C388" s="46"/>
      <c r="D388" s="120"/>
      <c r="E388" s="62"/>
      <c r="F388" s="46"/>
      <c r="G388" s="46"/>
      <c r="H388" s="46"/>
      <c r="I388" s="46"/>
      <c r="J388" s="46"/>
      <c r="K388" s="46"/>
      <c r="L388" s="46"/>
      <c r="M388" s="46"/>
      <c r="N388" s="46"/>
      <c r="O388" s="46"/>
      <c r="P388" s="46"/>
      <c r="Q388" s="46"/>
      <c r="R388" s="46"/>
      <c r="S388" s="46"/>
      <c r="T388" s="46"/>
      <c r="U388" s="46"/>
      <c r="V388" s="46"/>
    </row>
    <row r="389" ht="15.75" customHeight="1">
      <c r="A389" s="46"/>
      <c r="B389" s="119"/>
      <c r="C389" s="46"/>
      <c r="D389" s="120"/>
      <c r="E389" s="62"/>
      <c r="F389" s="46"/>
      <c r="G389" s="46"/>
      <c r="H389" s="46"/>
      <c r="I389" s="46"/>
      <c r="J389" s="46"/>
      <c r="K389" s="46"/>
      <c r="L389" s="46"/>
      <c r="M389" s="46"/>
      <c r="N389" s="46"/>
      <c r="O389" s="46"/>
      <c r="P389" s="46"/>
      <c r="Q389" s="46"/>
      <c r="R389" s="46"/>
      <c r="S389" s="46"/>
      <c r="T389" s="46"/>
      <c r="U389" s="46"/>
      <c r="V389" s="46"/>
    </row>
    <row r="390" ht="15.75" customHeight="1">
      <c r="A390" s="46"/>
      <c r="B390" s="119"/>
      <c r="C390" s="46"/>
      <c r="D390" s="120"/>
      <c r="E390" s="62"/>
      <c r="F390" s="46"/>
      <c r="G390" s="46"/>
      <c r="H390" s="46"/>
      <c r="I390" s="46"/>
      <c r="J390" s="46"/>
      <c r="K390" s="46"/>
      <c r="L390" s="46"/>
      <c r="M390" s="46"/>
      <c r="N390" s="46"/>
      <c r="O390" s="46"/>
      <c r="P390" s="46"/>
      <c r="Q390" s="46"/>
      <c r="R390" s="46"/>
      <c r="S390" s="46"/>
      <c r="T390" s="46"/>
      <c r="U390" s="46"/>
      <c r="V390" s="46"/>
    </row>
    <row r="391" ht="15.75" customHeight="1">
      <c r="A391" s="46"/>
      <c r="B391" s="119"/>
      <c r="C391" s="46"/>
      <c r="D391" s="120"/>
      <c r="E391" s="62"/>
      <c r="F391" s="46"/>
      <c r="G391" s="46"/>
      <c r="H391" s="46"/>
      <c r="I391" s="46"/>
      <c r="J391" s="46"/>
      <c r="K391" s="46"/>
      <c r="L391" s="46"/>
      <c r="M391" s="46"/>
      <c r="N391" s="46"/>
      <c r="O391" s="46"/>
      <c r="P391" s="46"/>
      <c r="Q391" s="46"/>
      <c r="R391" s="46"/>
      <c r="S391" s="46"/>
      <c r="T391" s="46"/>
      <c r="U391" s="46"/>
      <c r="V391" s="46"/>
    </row>
    <row r="392" ht="15.75" customHeight="1">
      <c r="A392" s="46"/>
      <c r="B392" s="119"/>
      <c r="C392" s="46"/>
      <c r="D392" s="120"/>
      <c r="E392" s="62"/>
      <c r="F392" s="46"/>
      <c r="G392" s="46"/>
      <c r="H392" s="46"/>
      <c r="I392" s="46"/>
      <c r="J392" s="46"/>
      <c r="K392" s="46"/>
      <c r="L392" s="46"/>
      <c r="M392" s="46"/>
      <c r="N392" s="46"/>
      <c r="O392" s="46"/>
      <c r="P392" s="46"/>
      <c r="Q392" s="46"/>
      <c r="R392" s="46"/>
      <c r="S392" s="46"/>
      <c r="T392" s="46"/>
      <c r="U392" s="46"/>
      <c r="V392" s="46"/>
    </row>
    <row r="393" ht="15.75" customHeight="1">
      <c r="A393" s="46"/>
      <c r="B393" s="119"/>
      <c r="C393" s="46"/>
      <c r="D393" s="120"/>
      <c r="E393" s="62"/>
      <c r="F393" s="46"/>
      <c r="G393" s="46"/>
      <c r="H393" s="46"/>
      <c r="I393" s="46"/>
      <c r="J393" s="46"/>
      <c r="K393" s="46"/>
      <c r="L393" s="46"/>
      <c r="M393" s="46"/>
      <c r="N393" s="46"/>
      <c r="O393" s="46"/>
      <c r="P393" s="46"/>
      <c r="Q393" s="46"/>
      <c r="R393" s="46"/>
      <c r="S393" s="46"/>
      <c r="T393" s="46"/>
      <c r="U393" s="46"/>
      <c r="V393" s="46"/>
    </row>
    <row r="394" ht="15.75" customHeight="1">
      <c r="A394" s="46"/>
      <c r="B394" s="119"/>
      <c r="C394" s="46"/>
      <c r="D394" s="120"/>
      <c r="E394" s="62"/>
      <c r="F394" s="46"/>
      <c r="G394" s="46"/>
      <c r="H394" s="46"/>
      <c r="I394" s="46"/>
      <c r="J394" s="46"/>
      <c r="K394" s="46"/>
      <c r="L394" s="46"/>
      <c r="M394" s="46"/>
      <c r="N394" s="46"/>
      <c r="O394" s="46"/>
      <c r="P394" s="46"/>
      <c r="Q394" s="46"/>
      <c r="R394" s="46"/>
      <c r="S394" s="46"/>
      <c r="T394" s="46"/>
      <c r="U394" s="46"/>
      <c r="V394" s="46"/>
    </row>
    <row r="395" ht="15.75" customHeight="1">
      <c r="A395" s="46"/>
      <c r="B395" s="119"/>
      <c r="C395" s="46"/>
      <c r="D395" s="120"/>
      <c r="E395" s="62"/>
      <c r="F395" s="46"/>
      <c r="G395" s="46"/>
      <c r="H395" s="46"/>
      <c r="I395" s="46"/>
      <c r="J395" s="46"/>
      <c r="K395" s="46"/>
      <c r="L395" s="46"/>
      <c r="M395" s="46"/>
      <c r="N395" s="46"/>
      <c r="O395" s="46"/>
      <c r="P395" s="46"/>
      <c r="Q395" s="46"/>
      <c r="R395" s="46"/>
      <c r="S395" s="46"/>
      <c r="T395" s="46"/>
      <c r="U395" s="46"/>
      <c r="V395" s="46"/>
    </row>
    <row r="396" ht="15.75" customHeight="1">
      <c r="A396" s="46"/>
      <c r="B396" s="119"/>
      <c r="C396" s="46"/>
      <c r="D396" s="120"/>
      <c r="E396" s="62"/>
      <c r="F396" s="46"/>
      <c r="G396" s="46"/>
      <c r="H396" s="46"/>
      <c r="I396" s="46"/>
      <c r="J396" s="46"/>
      <c r="K396" s="46"/>
      <c r="L396" s="46"/>
      <c r="M396" s="46"/>
      <c r="N396" s="46"/>
      <c r="O396" s="46"/>
      <c r="P396" s="46"/>
      <c r="Q396" s="46"/>
      <c r="R396" s="46"/>
      <c r="S396" s="46"/>
      <c r="T396" s="46"/>
      <c r="U396" s="46"/>
      <c r="V396" s="46"/>
    </row>
    <row r="397" ht="15.75" customHeight="1">
      <c r="A397" s="46"/>
      <c r="B397" s="119"/>
      <c r="C397" s="46"/>
      <c r="D397" s="120"/>
      <c r="E397" s="62"/>
      <c r="F397" s="46"/>
      <c r="G397" s="46"/>
      <c r="H397" s="46"/>
      <c r="I397" s="46"/>
      <c r="J397" s="46"/>
      <c r="K397" s="46"/>
      <c r="L397" s="46"/>
      <c r="M397" s="46"/>
      <c r="N397" s="46"/>
      <c r="O397" s="46"/>
      <c r="P397" s="46"/>
      <c r="Q397" s="46"/>
      <c r="R397" s="46"/>
      <c r="S397" s="46"/>
      <c r="T397" s="46"/>
      <c r="U397" s="46"/>
      <c r="V397" s="46"/>
    </row>
    <row r="398" ht="15.75" customHeight="1">
      <c r="A398" s="46"/>
      <c r="B398" s="119"/>
      <c r="C398" s="46"/>
      <c r="D398" s="120"/>
      <c r="E398" s="62"/>
      <c r="F398" s="46"/>
      <c r="G398" s="46"/>
      <c r="H398" s="46"/>
      <c r="I398" s="46"/>
      <c r="J398" s="46"/>
      <c r="K398" s="46"/>
      <c r="L398" s="46"/>
      <c r="M398" s="46"/>
      <c r="N398" s="46"/>
      <c r="O398" s="46"/>
      <c r="P398" s="46"/>
      <c r="Q398" s="46"/>
      <c r="R398" s="46"/>
      <c r="S398" s="46"/>
      <c r="T398" s="46"/>
      <c r="U398" s="46"/>
      <c r="V398" s="46"/>
    </row>
    <row r="399" ht="15.75" customHeight="1">
      <c r="A399" s="46"/>
      <c r="B399" s="119"/>
      <c r="C399" s="46"/>
      <c r="D399" s="120"/>
      <c r="E399" s="62"/>
      <c r="F399" s="46"/>
      <c r="G399" s="46"/>
      <c r="H399" s="46"/>
      <c r="I399" s="46"/>
      <c r="J399" s="46"/>
      <c r="K399" s="46"/>
      <c r="L399" s="46"/>
      <c r="M399" s="46"/>
      <c r="N399" s="46"/>
      <c r="O399" s="46"/>
      <c r="P399" s="46"/>
      <c r="Q399" s="46"/>
      <c r="R399" s="46"/>
      <c r="S399" s="46"/>
      <c r="T399" s="46"/>
      <c r="U399" s="46"/>
      <c r="V399" s="46"/>
    </row>
    <row r="400" ht="15.75" customHeight="1">
      <c r="A400" s="46"/>
      <c r="B400" s="119"/>
      <c r="C400" s="46"/>
      <c r="D400" s="120"/>
      <c r="E400" s="62"/>
      <c r="F400" s="46"/>
      <c r="G400" s="46"/>
      <c r="H400" s="46"/>
      <c r="I400" s="46"/>
      <c r="J400" s="46"/>
      <c r="K400" s="46"/>
      <c r="L400" s="46"/>
      <c r="M400" s="46"/>
      <c r="N400" s="46"/>
      <c r="O400" s="46"/>
      <c r="P400" s="46"/>
      <c r="Q400" s="46"/>
      <c r="R400" s="46"/>
      <c r="S400" s="46"/>
      <c r="T400" s="46"/>
      <c r="U400" s="46"/>
      <c r="V400" s="46"/>
    </row>
    <row r="401" ht="15.75" customHeight="1">
      <c r="A401" s="46"/>
      <c r="B401" s="119"/>
      <c r="C401" s="46"/>
      <c r="D401" s="120"/>
      <c r="E401" s="62"/>
      <c r="F401" s="46"/>
      <c r="G401" s="46"/>
      <c r="H401" s="46"/>
      <c r="I401" s="46"/>
      <c r="J401" s="46"/>
      <c r="K401" s="46"/>
      <c r="L401" s="46"/>
      <c r="M401" s="46"/>
      <c r="N401" s="46"/>
      <c r="O401" s="46"/>
      <c r="P401" s="46"/>
      <c r="Q401" s="46"/>
      <c r="R401" s="46"/>
      <c r="S401" s="46"/>
      <c r="T401" s="46"/>
      <c r="U401" s="46"/>
      <c r="V401" s="46"/>
    </row>
    <row r="402" ht="15.75" customHeight="1">
      <c r="A402" s="46"/>
      <c r="B402" s="119"/>
      <c r="C402" s="46"/>
      <c r="D402" s="120"/>
      <c r="E402" s="62"/>
      <c r="F402" s="46"/>
      <c r="G402" s="46"/>
      <c r="H402" s="46"/>
      <c r="I402" s="46"/>
      <c r="J402" s="46"/>
      <c r="K402" s="46"/>
      <c r="L402" s="46"/>
      <c r="M402" s="46"/>
      <c r="N402" s="46"/>
      <c r="O402" s="46"/>
      <c r="P402" s="46"/>
      <c r="Q402" s="46"/>
      <c r="R402" s="46"/>
      <c r="S402" s="46"/>
      <c r="T402" s="46"/>
      <c r="U402" s="46"/>
      <c r="V402" s="46"/>
    </row>
    <row r="403" ht="15.75" customHeight="1">
      <c r="A403" s="46"/>
      <c r="B403" s="119"/>
      <c r="C403" s="46"/>
      <c r="D403" s="120"/>
      <c r="E403" s="62"/>
      <c r="F403" s="46"/>
      <c r="G403" s="46"/>
      <c r="H403" s="46"/>
      <c r="I403" s="46"/>
      <c r="J403" s="46"/>
      <c r="K403" s="46"/>
      <c r="L403" s="46"/>
      <c r="M403" s="46"/>
      <c r="N403" s="46"/>
      <c r="O403" s="46"/>
      <c r="P403" s="46"/>
      <c r="Q403" s="46"/>
      <c r="R403" s="46"/>
      <c r="S403" s="46"/>
      <c r="T403" s="46"/>
      <c r="U403" s="46"/>
      <c r="V403" s="46"/>
    </row>
    <row r="404" ht="15.75" customHeight="1">
      <c r="A404" s="46"/>
      <c r="B404" s="119"/>
      <c r="C404" s="46"/>
      <c r="D404" s="120"/>
      <c r="E404" s="62"/>
      <c r="F404" s="46"/>
      <c r="G404" s="46"/>
      <c r="H404" s="46"/>
      <c r="I404" s="46"/>
      <c r="J404" s="46"/>
      <c r="K404" s="46"/>
      <c r="L404" s="46"/>
      <c r="M404" s="46"/>
      <c r="N404" s="46"/>
      <c r="O404" s="46"/>
      <c r="P404" s="46"/>
      <c r="Q404" s="46"/>
      <c r="R404" s="46"/>
      <c r="S404" s="46"/>
      <c r="T404" s="46"/>
      <c r="U404" s="46"/>
      <c r="V404" s="46"/>
    </row>
    <row r="405" ht="15.75" customHeight="1">
      <c r="A405" s="46"/>
      <c r="B405" s="119"/>
      <c r="C405" s="46"/>
      <c r="D405" s="120"/>
      <c r="E405" s="62"/>
      <c r="F405" s="46"/>
      <c r="G405" s="46"/>
      <c r="H405" s="46"/>
      <c r="I405" s="46"/>
      <c r="J405" s="46"/>
      <c r="K405" s="46"/>
      <c r="L405" s="46"/>
      <c r="M405" s="46"/>
      <c r="N405" s="46"/>
      <c r="O405" s="46"/>
      <c r="P405" s="46"/>
      <c r="Q405" s="46"/>
      <c r="R405" s="46"/>
      <c r="S405" s="46"/>
      <c r="T405" s="46"/>
      <c r="U405" s="46"/>
      <c r="V405" s="46"/>
    </row>
    <row r="406" ht="15.75" customHeight="1">
      <c r="A406" s="46"/>
      <c r="B406" s="119"/>
      <c r="C406" s="46"/>
      <c r="D406" s="120"/>
      <c r="E406" s="62"/>
      <c r="F406" s="46"/>
      <c r="G406" s="46"/>
      <c r="H406" s="46"/>
      <c r="I406" s="46"/>
      <c r="J406" s="46"/>
      <c r="K406" s="46"/>
      <c r="L406" s="46"/>
      <c r="M406" s="46"/>
      <c r="N406" s="46"/>
      <c r="O406" s="46"/>
      <c r="P406" s="46"/>
      <c r="Q406" s="46"/>
      <c r="R406" s="46"/>
      <c r="S406" s="46"/>
      <c r="T406" s="46"/>
      <c r="U406" s="46"/>
      <c r="V406" s="46"/>
    </row>
    <row r="407" ht="15.75" customHeight="1">
      <c r="A407" s="46"/>
      <c r="B407" s="119"/>
      <c r="C407" s="46"/>
      <c r="D407" s="120"/>
      <c r="E407" s="62"/>
      <c r="F407" s="46"/>
      <c r="G407" s="46"/>
      <c r="H407" s="46"/>
      <c r="I407" s="46"/>
      <c r="J407" s="46"/>
      <c r="K407" s="46"/>
      <c r="L407" s="46"/>
      <c r="M407" s="46"/>
      <c r="N407" s="46"/>
      <c r="O407" s="46"/>
      <c r="P407" s="46"/>
      <c r="Q407" s="46"/>
      <c r="R407" s="46"/>
      <c r="S407" s="46"/>
      <c r="T407" s="46"/>
      <c r="U407" s="46"/>
      <c r="V407" s="46"/>
    </row>
    <row r="408" ht="15.75" customHeight="1">
      <c r="A408" s="46"/>
      <c r="B408" s="119"/>
      <c r="C408" s="46"/>
      <c r="D408" s="120"/>
      <c r="E408" s="62"/>
      <c r="F408" s="46"/>
      <c r="G408" s="46"/>
      <c r="H408" s="46"/>
      <c r="I408" s="46"/>
      <c r="J408" s="46"/>
      <c r="K408" s="46"/>
      <c r="L408" s="46"/>
      <c r="M408" s="46"/>
      <c r="N408" s="46"/>
      <c r="O408" s="46"/>
      <c r="P408" s="46"/>
      <c r="Q408" s="46"/>
      <c r="R408" s="46"/>
      <c r="S408" s="46"/>
      <c r="T408" s="46"/>
      <c r="U408" s="46"/>
      <c r="V408" s="46"/>
    </row>
    <row r="409" ht="15.75" customHeight="1">
      <c r="A409" s="46"/>
      <c r="B409" s="119"/>
      <c r="C409" s="46"/>
      <c r="D409" s="120"/>
      <c r="E409" s="62"/>
      <c r="F409" s="46"/>
      <c r="G409" s="46"/>
      <c r="H409" s="46"/>
      <c r="I409" s="46"/>
      <c r="J409" s="46"/>
      <c r="K409" s="46"/>
      <c r="L409" s="46"/>
      <c r="M409" s="46"/>
      <c r="N409" s="46"/>
      <c r="O409" s="46"/>
      <c r="P409" s="46"/>
      <c r="Q409" s="46"/>
      <c r="R409" s="46"/>
      <c r="S409" s="46"/>
      <c r="T409" s="46"/>
      <c r="U409" s="46"/>
      <c r="V409" s="46"/>
    </row>
    <row r="410" ht="15.75" customHeight="1">
      <c r="A410" s="46"/>
      <c r="B410" s="119"/>
      <c r="C410" s="46"/>
      <c r="D410" s="120"/>
      <c r="E410" s="62"/>
      <c r="F410" s="46"/>
      <c r="G410" s="46"/>
      <c r="H410" s="46"/>
      <c r="I410" s="46"/>
      <c r="J410" s="46"/>
      <c r="K410" s="46"/>
      <c r="L410" s="46"/>
      <c r="M410" s="46"/>
      <c r="N410" s="46"/>
      <c r="O410" s="46"/>
      <c r="P410" s="46"/>
      <c r="Q410" s="46"/>
      <c r="R410" s="46"/>
      <c r="S410" s="46"/>
      <c r="T410" s="46"/>
      <c r="U410" s="46"/>
      <c r="V410" s="46"/>
    </row>
    <row r="411" ht="15.75" customHeight="1">
      <c r="A411" s="46"/>
      <c r="B411" s="119"/>
      <c r="C411" s="46"/>
      <c r="D411" s="120"/>
      <c r="E411" s="62"/>
      <c r="F411" s="46"/>
      <c r="G411" s="46"/>
      <c r="H411" s="46"/>
      <c r="I411" s="46"/>
      <c r="J411" s="46"/>
      <c r="K411" s="46"/>
      <c r="L411" s="46"/>
      <c r="M411" s="46"/>
      <c r="N411" s="46"/>
      <c r="O411" s="46"/>
      <c r="P411" s="46"/>
      <c r="Q411" s="46"/>
      <c r="R411" s="46"/>
      <c r="S411" s="46"/>
      <c r="T411" s="46"/>
      <c r="U411" s="46"/>
      <c r="V411" s="46"/>
    </row>
    <row r="412" ht="15.75" customHeight="1">
      <c r="A412" s="46"/>
      <c r="B412" s="119"/>
      <c r="C412" s="46"/>
      <c r="D412" s="120"/>
      <c r="E412" s="62"/>
      <c r="F412" s="46"/>
      <c r="G412" s="46"/>
      <c r="H412" s="46"/>
      <c r="I412" s="46"/>
      <c r="J412" s="46"/>
      <c r="K412" s="46"/>
      <c r="L412" s="46"/>
      <c r="M412" s="46"/>
      <c r="N412" s="46"/>
      <c r="O412" s="46"/>
      <c r="P412" s="46"/>
      <c r="Q412" s="46"/>
      <c r="R412" s="46"/>
      <c r="S412" s="46"/>
      <c r="T412" s="46"/>
      <c r="U412" s="46"/>
      <c r="V412" s="46"/>
    </row>
    <row r="413" ht="15.75" customHeight="1">
      <c r="A413" s="46"/>
      <c r="B413" s="119"/>
      <c r="C413" s="46"/>
      <c r="D413" s="120"/>
      <c r="E413" s="62"/>
      <c r="F413" s="46"/>
      <c r="G413" s="46"/>
      <c r="H413" s="46"/>
      <c r="I413" s="46"/>
      <c r="J413" s="46"/>
      <c r="K413" s="46"/>
      <c r="L413" s="46"/>
      <c r="M413" s="46"/>
      <c r="N413" s="46"/>
      <c r="O413" s="46"/>
      <c r="P413" s="46"/>
      <c r="Q413" s="46"/>
      <c r="R413" s="46"/>
      <c r="S413" s="46"/>
      <c r="T413" s="46"/>
      <c r="U413" s="46"/>
      <c r="V413" s="46"/>
    </row>
    <row r="414" ht="15.75" customHeight="1">
      <c r="A414" s="46"/>
      <c r="B414" s="119"/>
      <c r="C414" s="46"/>
      <c r="D414" s="120"/>
      <c r="E414" s="62"/>
      <c r="F414" s="46"/>
      <c r="G414" s="46"/>
      <c r="H414" s="46"/>
      <c r="I414" s="46"/>
      <c r="J414" s="46"/>
      <c r="K414" s="46"/>
      <c r="L414" s="46"/>
      <c r="M414" s="46"/>
      <c r="N414" s="46"/>
      <c r="O414" s="46"/>
      <c r="P414" s="46"/>
      <c r="Q414" s="46"/>
      <c r="R414" s="46"/>
      <c r="S414" s="46"/>
      <c r="T414" s="46"/>
      <c r="U414" s="46"/>
      <c r="V414" s="46"/>
    </row>
    <row r="415" ht="15.75" customHeight="1">
      <c r="A415" s="46"/>
      <c r="B415" s="119"/>
      <c r="C415" s="46"/>
      <c r="D415" s="120"/>
      <c r="E415" s="62"/>
      <c r="F415" s="46"/>
      <c r="G415" s="46"/>
      <c r="H415" s="46"/>
      <c r="I415" s="46"/>
      <c r="J415" s="46"/>
      <c r="K415" s="46"/>
      <c r="L415" s="46"/>
      <c r="M415" s="46"/>
      <c r="N415" s="46"/>
      <c r="O415" s="46"/>
      <c r="P415" s="46"/>
      <c r="Q415" s="46"/>
      <c r="R415" s="46"/>
      <c r="S415" s="46"/>
      <c r="T415" s="46"/>
      <c r="U415" s="46"/>
      <c r="V415" s="46"/>
    </row>
    <row r="416" ht="15.75" customHeight="1">
      <c r="A416" s="46"/>
      <c r="B416" s="119"/>
      <c r="C416" s="46"/>
      <c r="D416" s="120"/>
      <c r="E416" s="62"/>
      <c r="F416" s="46"/>
      <c r="G416" s="46"/>
      <c r="H416" s="46"/>
      <c r="I416" s="46"/>
      <c r="J416" s="46"/>
      <c r="K416" s="46"/>
      <c r="L416" s="46"/>
      <c r="M416" s="46"/>
      <c r="N416" s="46"/>
      <c r="O416" s="46"/>
      <c r="P416" s="46"/>
      <c r="Q416" s="46"/>
      <c r="R416" s="46"/>
      <c r="S416" s="46"/>
      <c r="T416" s="46"/>
      <c r="U416" s="46"/>
      <c r="V416" s="46"/>
    </row>
    <row r="417" ht="15.75" customHeight="1">
      <c r="A417" s="46"/>
      <c r="B417" s="119"/>
      <c r="C417" s="46"/>
      <c r="D417" s="120"/>
      <c r="E417" s="62"/>
      <c r="F417" s="46"/>
      <c r="G417" s="46"/>
      <c r="H417" s="46"/>
      <c r="I417" s="46"/>
      <c r="J417" s="46"/>
      <c r="K417" s="46"/>
      <c r="L417" s="46"/>
      <c r="M417" s="46"/>
      <c r="N417" s="46"/>
      <c r="O417" s="46"/>
      <c r="P417" s="46"/>
      <c r="Q417" s="46"/>
      <c r="R417" s="46"/>
      <c r="S417" s="46"/>
      <c r="T417" s="46"/>
      <c r="U417" s="46"/>
      <c r="V417" s="46"/>
    </row>
    <row r="418" ht="15.75" customHeight="1">
      <c r="A418" s="46"/>
      <c r="B418" s="119"/>
      <c r="C418" s="46"/>
      <c r="D418" s="120"/>
      <c r="E418" s="62"/>
      <c r="F418" s="46"/>
      <c r="G418" s="46"/>
      <c r="H418" s="46"/>
      <c r="I418" s="46"/>
      <c r="J418" s="46"/>
      <c r="K418" s="46"/>
      <c r="L418" s="46"/>
      <c r="M418" s="46"/>
      <c r="N418" s="46"/>
      <c r="O418" s="46"/>
      <c r="P418" s="46"/>
      <c r="Q418" s="46"/>
      <c r="R418" s="46"/>
      <c r="S418" s="46"/>
      <c r="T418" s="46"/>
      <c r="U418" s="46"/>
      <c r="V418" s="46"/>
    </row>
    <row r="419" ht="15.75" customHeight="1">
      <c r="A419" s="46"/>
      <c r="B419" s="119"/>
      <c r="C419" s="46"/>
      <c r="D419" s="120"/>
      <c r="E419" s="62"/>
      <c r="F419" s="46"/>
      <c r="G419" s="46"/>
      <c r="H419" s="46"/>
      <c r="I419" s="46"/>
      <c r="J419" s="46"/>
      <c r="K419" s="46"/>
      <c r="L419" s="46"/>
      <c r="M419" s="46"/>
      <c r="N419" s="46"/>
      <c r="O419" s="46"/>
      <c r="P419" s="46"/>
      <c r="Q419" s="46"/>
      <c r="R419" s="46"/>
      <c r="S419" s="46"/>
      <c r="T419" s="46"/>
      <c r="U419" s="46"/>
      <c r="V419" s="46"/>
    </row>
    <row r="420" ht="15.75" customHeight="1">
      <c r="A420" s="46"/>
      <c r="B420" s="119"/>
      <c r="C420" s="46"/>
      <c r="D420" s="120"/>
      <c r="E420" s="62"/>
      <c r="F420" s="46"/>
      <c r="G420" s="46"/>
      <c r="H420" s="46"/>
      <c r="I420" s="46"/>
      <c r="J420" s="46"/>
      <c r="K420" s="46"/>
      <c r="L420" s="46"/>
      <c r="M420" s="46"/>
      <c r="N420" s="46"/>
      <c r="O420" s="46"/>
      <c r="P420" s="46"/>
      <c r="Q420" s="46"/>
      <c r="R420" s="46"/>
      <c r="S420" s="46"/>
      <c r="T420" s="46"/>
      <c r="U420" s="46"/>
      <c r="V420" s="46"/>
    </row>
    <row r="421" ht="15.75" customHeight="1">
      <c r="A421" s="46"/>
      <c r="B421" s="119"/>
      <c r="C421" s="46"/>
      <c r="D421" s="120"/>
      <c r="E421" s="62"/>
      <c r="F421" s="46"/>
      <c r="G421" s="46"/>
      <c r="H421" s="46"/>
      <c r="I421" s="46"/>
      <c r="J421" s="46"/>
      <c r="K421" s="46"/>
      <c r="L421" s="46"/>
      <c r="M421" s="46"/>
      <c r="N421" s="46"/>
      <c r="O421" s="46"/>
      <c r="P421" s="46"/>
      <c r="Q421" s="46"/>
      <c r="R421" s="46"/>
      <c r="S421" s="46"/>
      <c r="T421" s="46"/>
      <c r="U421" s="46"/>
      <c r="V421" s="46"/>
    </row>
    <row r="422" ht="15.75" customHeight="1">
      <c r="A422" s="46"/>
      <c r="B422" s="119"/>
      <c r="C422" s="46"/>
      <c r="D422" s="120"/>
      <c r="E422" s="62"/>
      <c r="F422" s="46"/>
      <c r="G422" s="46"/>
      <c r="H422" s="46"/>
      <c r="I422" s="46"/>
      <c r="J422" s="46"/>
      <c r="K422" s="46"/>
      <c r="L422" s="46"/>
      <c r="M422" s="46"/>
      <c r="N422" s="46"/>
      <c r="O422" s="46"/>
      <c r="P422" s="46"/>
      <c r="Q422" s="46"/>
      <c r="R422" s="46"/>
      <c r="S422" s="46"/>
      <c r="T422" s="46"/>
      <c r="U422" s="46"/>
      <c r="V422" s="46"/>
    </row>
    <row r="423" ht="15.75" customHeight="1">
      <c r="A423" s="46"/>
      <c r="B423" s="119"/>
      <c r="C423" s="46"/>
      <c r="D423" s="120"/>
      <c r="E423" s="62"/>
      <c r="F423" s="46"/>
      <c r="G423" s="46"/>
      <c r="H423" s="46"/>
      <c r="I423" s="46"/>
      <c r="J423" s="46"/>
      <c r="K423" s="46"/>
      <c r="L423" s="46"/>
      <c r="M423" s="46"/>
      <c r="N423" s="46"/>
      <c r="O423" s="46"/>
      <c r="P423" s="46"/>
      <c r="Q423" s="46"/>
      <c r="R423" s="46"/>
      <c r="S423" s="46"/>
      <c r="T423" s="46"/>
      <c r="U423" s="46"/>
      <c r="V423" s="46"/>
    </row>
    <row r="424" ht="15.75" customHeight="1">
      <c r="A424" s="46"/>
      <c r="B424" s="119"/>
      <c r="C424" s="46"/>
      <c r="D424" s="120"/>
      <c r="E424" s="62"/>
      <c r="F424" s="46"/>
      <c r="G424" s="46"/>
      <c r="H424" s="46"/>
      <c r="I424" s="46"/>
      <c r="J424" s="46"/>
      <c r="K424" s="46"/>
      <c r="L424" s="46"/>
      <c r="M424" s="46"/>
      <c r="N424" s="46"/>
      <c r="O424" s="46"/>
      <c r="P424" s="46"/>
      <c r="Q424" s="46"/>
      <c r="R424" s="46"/>
      <c r="S424" s="46"/>
      <c r="T424" s="46"/>
      <c r="U424" s="46"/>
      <c r="V424" s="46"/>
    </row>
    <row r="425" ht="15.75" customHeight="1">
      <c r="A425" s="46"/>
      <c r="B425" s="119"/>
      <c r="C425" s="46"/>
      <c r="D425" s="120"/>
      <c r="E425" s="62"/>
      <c r="F425" s="46"/>
      <c r="G425" s="46"/>
      <c r="H425" s="46"/>
      <c r="I425" s="46"/>
      <c r="J425" s="46"/>
      <c r="K425" s="46"/>
      <c r="L425" s="46"/>
      <c r="M425" s="46"/>
      <c r="N425" s="46"/>
      <c r="O425" s="46"/>
      <c r="P425" s="46"/>
      <c r="Q425" s="46"/>
      <c r="R425" s="46"/>
      <c r="S425" s="46"/>
      <c r="T425" s="46"/>
      <c r="U425" s="46"/>
      <c r="V425" s="46"/>
    </row>
    <row r="426" ht="15.75" customHeight="1">
      <c r="A426" s="46"/>
      <c r="B426" s="119"/>
      <c r="C426" s="46"/>
      <c r="D426" s="120"/>
      <c r="E426" s="62"/>
      <c r="F426" s="46"/>
      <c r="G426" s="46"/>
      <c r="H426" s="46"/>
      <c r="I426" s="46"/>
      <c r="J426" s="46"/>
      <c r="K426" s="46"/>
      <c r="L426" s="46"/>
      <c r="M426" s="46"/>
      <c r="N426" s="46"/>
      <c r="O426" s="46"/>
      <c r="P426" s="46"/>
      <c r="Q426" s="46"/>
      <c r="R426" s="46"/>
      <c r="S426" s="46"/>
      <c r="T426" s="46"/>
      <c r="U426" s="46"/>
      <c r="V426" s="46"/>
    </row>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sheetData>
  <mergeCells count="11">
    <mergeCell ref="A205:A209"/>
    <mergeCell ref="A210:A213"/>
    <mergeCell ref="A214:A217"/>
    <mergeCell ref="A218:A226"/>
    <mergeCell ref="A3:A40"/>
    <mergeCell ref="A41:A114"/>
    <mergeCell ref="A115:A182"/>
    <mergeCell ref="C144:E144"/>
    <mergeCell ref="C147:E147"/>
    <mergeCell ref="C156:E156"/>
    <mergeCell ref="A186:A204"/>
  </mergeCells>
  <conditionalFormatting sqref="D3:D143 D145:D146 D148:D155 D157:D1030">
    <cfRule type="cellIs" dxfId="0" priority="1" operator="equal">
      <formula>"✔"</formula>
    </cfRule>
  </conditionalFormatting>
  <conditionalFormatting sqref="D3:D143 D145:D146 D148:D155 D157:D1030">
    <cfRule type="cellIs" dxfId="1" priority="2" operator="equal">
      <formula>"NA"</formula>
    </cfRule>
  </conditionalFormatting>
  <conditionalFormatting sqref="D4:D18 D20:D27 D29:D36 D38:D40 D42:D60 D62:D87 D89:D91 D93:D99 D101:D106 D108:D114 D116:D119 D121:D130 D132:D143 D145:D146 D148:D155 D157:D161 D163:D185 D187:D192 D194:D198 D200:D204 D206:D209 D211:D213 D215:D217 D219:D226">
    <cfRule type="containsText" dxfId="2" priority="3" operator="containsText" text="✖">
      <formula>NOT(ISERROR(SEARCH(("✖"),(D4))))</formula>
    </cfRule>
  </conditionalFormatting>
  <conditionalFormatting sqref="D4:D18 D20:D27 D29:D36 D38:D40 D42:D60 D62:D87 D89:D91 D93:D99 D101:D106 D108:D114 D116:D119 D121:D130 D132:D143 D145:D146 D148:D155 D157:D161 D163:D185 D187:D192 D194:D198 D200:D204 D206:D209 D211:D213 D215:D217 D219:D226">
    <cfRule type="containsText" dxfId="3" priority="4" operator="containsText" text="-">
      <formula>NOT(ISERROR(SEARCH(("-"),(D4))))</formula>
    </cfRule>
  </conditionalFormatting>
  <conditionalFormatting sqref="D4:D18 D20:D27 D29:D36 D38:D40 D42:D60 D62:D87 D89:D91 D93:D99 D101:D106 D108:D114 D116:D119 D121:D130 D132:D143 D145:D146 D148:D155 D157:D161 D163:D185 D187:D192 D194:D198 D200:D204 D206:D209 D211:D213 D215:D217 D219:D226">
    <cfRule type="containsText" dxfId="4" priority="5" operator="containsText" text="⧗">
      <formula>NOT(ISERROR(SEARCH(("⧗"),(D4))))</formula>
    </cfRule>
  </conditionalFormatting>
  <dataValidations>
    <dataValidation type="list" allowBlank="1" sqref="D4:D5 D10 D12:D18 D20:D21 D23:D27 D29:D36 D38:D40 D42:D48 D50:D56 D58:D60 D62:D68 D70:D77 D79:D87 D89:D91 D93:D99 D101:D106 D108:D110 D112:D114 D116:D119 D121:D123 D125:D127 D129:D130 D132:D133 D135:D143 D145:D146 D148:D155 D157:D161 D163:D170 D172:D180 D182:D185 D187:D192 D194:D198 D200:D204 D206:D209 D211:D213 D215:D217 D219:D226">
      <formula1>"✔,✖,NA,-"</formula1>
    </dataValidation>
    <dataValidation type="list" allowBlank="1" showErrorMessage="1" sqref="D6">
      <formula1>"WordPress,Wix,Shopline,Shopify,Magento,OpenCart,Squarespace,Joomla,/"</formula1>
    </dataValidation>
  </dataValidations>
  <hyperlinks>
    <hyperlink r:id="rId1" ref="E7"/>
    <hyperlink r:id="rId2" ref="E8"/>
    <hyperlink r:id="rId3" ref="E13"/>
    <hyperlink r:id="rId4" ref="E14"/>
    <hyperlink r:id="rId5" ref="E20"/>
    <hyperlink r:id="rId6" ref="E21"/>
    <hyperlink r:id="rId7" ref="E23"/>
    <hyperlink display="4. Keyword Drop" location="null!A1" ref="E25"/>
    <hyperlink r:id="rId8" ref="E39"/>
    <hyperlink r:id="rId9" ref="E40"/>
    <hyperlink display="7. GSC Checks" location="'7. GSC Checks'!A1" ref="E42"/>
    <hyperlink display="7. GSC Checks" location="'7. GSC Checks'!A1" ref="E43"/>
    <hyperlink display="7. GSC Checks" location="'7. GSC Checks'!A1" ref="E44"/>
    <hyperlink display="7. GSC Checks" location="'7. GSC Checks'!A1" ref="E45"/>
    <hyperlink display="7. GSC Checks" location="'7. GSC Checks'!A1" ref="E46"/>
    <hyperlink display="7. GSC Checks" location="'7. GSC Checks'!A1" ref="E47"/>
    <hyperlink r:id="rId10" ref="C50"/>
    <hyperlink display="8. Mobile Checks" location="null!A1" ref="E50"/>
    <hyperlink display="8. Mobile Checks" location="null!A1" ref="E51"/>
    <hyperlink display="8. Mobile Checks" location="null!A1" ref="E52"/>
    <hyperlink display="8. Mobile Checks" location="null!A1" ref="E53"/>
    <hyperlink display="8. Mobile Checks" location="null!A1" ref="E54"/>
    <hyperlink display="8. Mobile Checks" location="null!A1" ref="E55"/>
    <hyperlink display="9. Implement HTTPS Protocol" location="'9. Implement HTTPS Protocol'!A1" ref="E58"/>
    <hyperlink display="9. Implement HTTPS Protocol" location="'9. Implement HTTPS Protocol'!A1" ref="E59"/>
    <hyperlink display="9. Implement HTTPS Protocol" location="'9. Implement HTTPS Protocol'!A1" ref="E60"/>
    <hyperlink display="10. Robots.txt" location="'10. Robots.txt'!A1" ref="E62"/>
    <hyperlink display="10. Robots.txt" location="null!A1" ref="E63"/>
    <hyperlink display="10. Robots.txt" location="null!A1" ref="E64"/>
    <hyperlink display="10. Robots.txt" location="null!A1" ref="E65"/>
    <hyperlink display="10. Robots.txt" location="null!A1" ref="E66"/>
    <hyperlink display="10. Robots.txt" location="null!A1" ref="E67"/>
    <hyperlink display="10. Robots.txt" location="null!A1" ref="E68"/>
    <hyperlink display="33. AI Crawler Directives (GEO)" location="'33. AI Crawler Directives (GEO)'!A1" ref="E70"/>
    <hyperlink display="33. AI Crawler Directives (GEO)" location="'33. AI Crawler Directives (GEO)'!A1" ref="E71"/>
    <hyperlink display="33. AI Crawler Directives (GEO)" location="'33. AI Crawler Directives (GEO)'!A1" ref="E72"/>
    <hyperlink display="33. AI Crawler Directives (GEO)" location="'33. AI Crawler Directives (GEO)'!A1" ref="E73"/>
    <hyperlink display="33. AI Crawler Directives (GEO)" location="'33. AI Crawler Directives (GEO)'!A1" ref="E74"/>
    <hyperlink display="33. AI Crawler Directives (GEO)" location="'33. AI Crawler Directives (GEO)'!A1" ref="E75"/>
    <hyperlink display="33. AI Crawler Directives (GEO)" location="'33. AI Crawler Directives (GEO)'!A1" ref="E76"/>
    <hyperlink display="33. AI Crawler Directives (GEO)" location="'33. AI Crawler Directives (GEO)'!A1" ref="E77"/>
    <hyperlink display="11. Sitemap" location="'11. Sitemap'!A1" ref="E79"/>
    <hyperlink display="11. Sitemap" location="'11. Sitemap'!A1" ref="E80"/>
    <hyperlink display="11. Sitemap" location="'11. Sitemap'!A1" ref="E81"/>
    <hyperlink display="11. Sitemap" location="'11. Sitemap'!A1" ref="E82"/>
    <hyperlink display="11. Sitemap" location="'11. Sitemap'!A1" ref="E83"/>
    <hyperlink display="11. Sitemap" location="'11. Sitemap'!A1" ref="E84"/>
    <hyperlink display="11. Sitemap" location="'11. Sitemap'!A1" ref="E85"/>
    <hyperlink display="11. Sitemap" location="'11. Sitemap'!A1" ref="E86"/>
    <hyperlink display="11. Sitemap" location="'11. Sitemap'!A1" ref="E87"/>
    <hyperlink display="12. Robots meta tags" location="'12. Robots meta tags'!A1" ref="E89"/>
    <hyperlink display="12. Robots meta tags" location="'12. Robots meta tags'!A1" ref="E90"/>
    <hyperlink display="12. Robots meta tags" location="'12. Robots meta tags'!A1" ref="E91"/>
    <hyperlink display="13. Canonical tag" location="'13. Canonical tag'!A1" ref="E93"/>
    <hyperlink display="13. Canonical tag" location="'13. Canonical tag'!A1" ref="E94"/>
    <hyperlink display="13. Canonical tag" location="'13. Canonical tag'!A1" ref="E95"/>
    <hyperlink display="13. Canonical tag" location="'13. Canonical tag'!A1" ref="E96"/>
    <hyperlink display="13. Canonical tag" location="'13. Canonical tag'!A1" ref="E99"/>
    <hyperlink display="14. Pagination" location="null!A1" ref="E101"/>
    <hyperlink display="14. Pagination" location="null!A1" ref="E102"/>
    <hyperlink display="14. Pagination" location="null!A1" ref="E103"/>
    <hyperlink display="14. Pagination" location="null!A1" ref="E104"/>
    <hyperlink display="14. Pagination" location="null!A1" ref="E105"/>
    <hyperlink display="14. Pagination" location="null!A1" ref="E106"/>
    <hyperlink display="15. Hreflang tag" location="null!A1" ref="E110"/>
    <hyperlink display="17.1 Page titles - Missing" location="'17.1 Page titles - Missing'!A1" ref="E116"/>
    <hyperlink display="17.2 Page titles - Duplicate" location="'17.2 Page titles - Duplicate'!A1" ref="E117"/>
    <hyperlink display="17.3 Page titles - Too Long" location="'17.3 Page Titles - Too Long'!A1" ref="E118"/>
    <hyperlink display="17.4 Page titles - Multiple" location="'17.4 Page Titles - Multiple'!A1" ref="E119"/>
    <hyperlink display="18.1 Descriptions - Missing" location="'18. Descriptions - Missing'!A1" ref="E121"/>
    <hyperlink display="18.2 Descriptions - Duplicate" location="'18.2 Descriptions - Duplicate'!A1" ref="E122"/>
    <hyperlink display="18.3 Descriptions - Too Long" location="'18.3 Descriptions - Too Long'!A1" ref="E123"/>
    <hyperlink display="19.1 H1 - Missing" location="'19.1 H1 - Missing'!A1" ref="E125"/>
    <hyperlink display="19.2 H1 - Duplicate" location="'19.2 H1 - Duplicate'!A1" ref="E126"/>
    <hyperlink display="19.3 H1 - Multiple" location="'19.3 H1 - Multiple'!A1" ref="E127"/>
    <hyperlink display="20.1 Image - Alt Text Missing" location="'20.1 Image - Alt Text Missing'!A1" ref="E129"/>
    <hyperlink display="20.2 Image - Oversize" location="'20.2 Image - Oversize'!A1" ref="E130"/>
    <hyperlink display="21.1 Duplicate Content - External" location="'21.1 Duplicate content - Extern'!A1" ref="E132"/>
    <hyperlink display="21.2 Duplicate Content - Internal" location="'21.2 Duplicate content - Intern'!A1" ref="E133"/>
    <hyperlink display="22 Content suggestions" location="'22 Content suggestions (SEO)'!A1" ref="E135"/>
    <hyperlink display="22 Content suggestions" location="'22 Content suggestions (SEO)'!A1" ref="E136"/>
    <hyperlink display="22 Content suggestions" location="'22 Content suggestions (SEO)'!A1" ref="E137"/>
    <hyperlink display="22 Content suggestions" location="'22 Content suggestions (SEO)'!A1" ref="E138"/>
    <hyperlink display="22 Content suggestions" location="'22 Content suggestions (SEO)'!A1" ref="E139"/>
    <hyperlink display="22 Content suggestions" location="'22 Content suggestions (SEO)'!A1" ref="E140"/>
    <hyperlink display="22 Content suggestions" location="'22 Content suggestions (SEO)'!A1" ref="E141"/>
    <hyperlink display="22 Content suggestions" location="'22 Content suggestions (SEO)'!A1" ref="E142"/>
    <hyperlink display="22 Content suggestions" location="'22 Content suggestions (SEO)'!A1" ref="E143"/>
    <hyperlink display="34. AI Visibility Audit" location="'34. AI Visibility Audit'!A1" ref="E145"/>
    <hyperlink display="34. AI Visibility Audit" location="'34. AI Visibility Audit'!A1" ref="E146"/>
    <hyperlink display="35. Content Optimisation for GEO" location="'35. Content Optimisation for GE'!A1" ref="E148"/>
    <hyperlink display="35. Content Optimisation for GEO" location="'35. Content Optimisation for GE'!A1" ref="E149"/>
    <hyperlink display="35. Content Optimisation for GEO" location="'35. Content Optimisation for GE'!A1" ref="E150"/>
    <hyperlink display="35. Content Optimisation for GEO" location="'35. Content Optimisation for GE'!A1" ref="E151"/>
    <hyperlink display="35. Content Optimisation for GEO" location="'35. Content Optimisation for GE'!A1" ref="E152"/>
    <hyperlink display="35. Content Optimisation for GEO" location="'35. Content Optimisation for GE'!A1" ref="E153"/>
    <hyperlink display="35. Content Optimisation for GEO" location="'35. Content Optimisation for GE'!A1" ref="E154"/>
    <hyperlink display="35. Content Optimisation for GEO" location="'35. Content Optimisation for GE'!A1" ref="E155"/>
    <hyperlink display="36. Technical GEO" location="'36. Technical GEO'!A1" ref="E157"/>
    <hyperlink display="36. Technical GEO" location="'36. Technical GEO'!A1" ref="E158"/>
    <hyperlink display="36. Technical GEO" location="'36. Technical GEO'!A1" ref="E159"/>
    <hyperlink display="36. Technical GEO" location="'36. Technical GEO'!A1" ref="E160"/>
    <hyperlink display="36. Technical GEO" location="'36. Technical GEO'!A1" ref="E161"/>
    <hyperlink display="23. Rich Snippets" location="'23. Rich Snippets (GEO)'!A1" ref="E163"/>
    <hyperlink display="23. Rich Snippets" location="'23. Rich Snippets (GEO)'!A1" ref="E164"/>
    <hyperlink display="23. Rich Snippets" location="'23. Rich Snippets (GEO)'!A1" ref="E165"/>
    <hyperlink display="23. Rich Snippets" location="'23. Rich Snippets (GEO)'!A1" ref="E166"/>
    <hyperlink display="23. Rich Snippets" location="'23. Rich Snippets (GEO)'!A1" ref="E167"/>
    <hyperlink display="23. Rich Snippets" location="'23. Rich Snippets (GEO)'!A1" ref="E169"/>
    <hyperlink display="23. Rich Snippets" location="'23. Rich Snippets (GEO)'!A1" ref="E170"/>
    <hyperlink display="24. Internal linking" location="'24. Internal linking'!A1" ref="E172"/>
    <hyperlink display="24. Internal linking" location="'24. Internal linking'!A1" ref="E173"/>
    <hyperlink display="24. Internal linking" location="'24. Internal linking'!A1" ref="E174"/>
    <hyperlink display="24. Internal linking" location="'24. Internal linking'!A1" ref="E175"/>
    <hyperlink display="24. Internal linking" location="'24. Internal linking'!A1" ref="E176"/>
    <hyperlink display="24.6 Redirect Chains" location="'24.6 Redirect Chains'!A1" ref="E177"/>
    <hyperlink display="24.7 Orphan URLs" location="'24.7 Orphan URLs'!A1" ref="E178"/>
    <hyperlink display="24.8 Broken Internal Links" location="'24.8 Broken Internal Links'!A1" ref="E179"/>
    <hyperlink display="24. Internal linking" location="'24. Internal linking'!A1" ref="E180"/>
    <hyperlink display="25. Crawling Issues" location="'25. Crawling Issues'!A1" ref="E182"/>
    <hyperlink display="26.1 URL best practices" location="'26.1 URL best practices'!A1" ref="E187"/>
    <hyperlink display="26.2 Parameters" location="'26.2 Parameters'!A1" ref="E188"/>
    <hyperlink display="26.3 Underscores" location="'26.3 Underscores'!A1" ref="E189"/>
    <hyperlink display="26.4 Uppercase" location="'26.4 Uppercase'!A1" ref="E190"/>
    <hyperlink display="26.5 Multiple Slashes" location="'26.5 Multiple Slashes'!A1" ref="E191"/>
    <hyperlink r:id="rId11" ref="C192"/>
    <hyperlink display="27.1 404s" location="'27.1 404s'!A1" ref="E194"/>
    <hyperlink display="27.2 5xx" location="'27.2 5xx'!A1" ref="E195"/>
    <hyperlink display="27.3 302 Redirects" location="'27.3 302s'!A1" ref="E196"/>
    <hyperlink display="27.5 Competitor 404s" location="'27.5 Competitor 404s'!A1" ref="E198"/>
    <hyperlink display="28. Page Speed" location="'28. Page speed'!A1" ref="E200"/>
    <hyperlink r:id="rId12" ref="C201"/>
    <hyperlink display="28. Page Speed" location="'28. Page speed'!A1" ref="E201"/>
    <hyperlink r:id="rId13" ref="C202"/>
    <hyperlink display="28. Page Speed" location="'28. Page speed'!A1" ref="E202"/>
    <hyperlink display="28.4 CWV" location="'28.4 CWV'!A1" ref="E203"/>
    <hyperlink display="29. Local Search" location="'29. Local Search'!A1" ref="E206"/>
    <hyperlink display="29. Local Search" location="'29. Local Search'!A1" ref="E207"/>
    <hyperlink display="29. Local Search" location="'29. Local Search'!A1" ref="E208"/>
    <hyperlink r:id="rId14" ref="E215"/>
    <hyperlink display="31. Backlink profile" location="'31. Backlink profile'!A1" ref="E216"/>
    <hyperlink display="31. Backlink profile" location="'31. Backlink profile'!A1" ref="E217"/>
    <hyperlink r:id="rId15" location="gid=1909044196" ref="E219"/>
    <hyperlink r:id="rId16" ref="E220"/>
    <hyperlink display="Update the responsibility and priority in Tab - Priorities &amp; Status" location="'Priorities &amp; Status'!A1" ref="C226"/>
  </hyperlinks>
  <printOptions gridLines="1" horizontalCentered="1"/>
  <pageMargins bottom="0.75" footer="0.0" header="0.0" left="0.7" right="0.7" top="0.75"/>
  <pageSetup fitToHeight="0" paperSize="9" cellComments="atEnd" orientation="landscape" pageOrder="overThenDown"/>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49.25"/>
    <col customWidth="1" min="4" max="6" width="12.63"/>
  </cols>
  <sheetData>
    <row r="1">
      <c r="A1" s="121" t="s">
        <v>56</v>
      </c>
      <c r="B1" s="121" t="s">
        <v>357</v>
      </c>
      <c r="C1" s="121" t="s">
        <v>358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5"/>
    <col customWidth="1" min="2" max="2" width="66.38"/>
    <col customWidth="1" min="3" max="3" width="32.38"/>
    <col customWidth="1" min="4" max="4" width="18.5"/>
    <col customWidth="1" min="5" max="5" width="9.88"/>
    <col customWidth="1" min="6" max="6" width="22.38"/>
    <col customWidth="1" min="7" max="7" width="14.0"/>
  </cols>
  <sheetData>
    <row r="1" ht="46.5" customHeight="1">
      <c r="A1" s="122"/>
      <c r="B1" s="123" t="s">
        <v>359</v>
      </c>
      <c r="C1" s="124" t="s">
        <v>360</v>
      </c>
      <c r="D1" s="124" t="s">
        <v>361</v>
      </c>
      <c r="E1" s="123" t="s">
        <v>362</v>
      </c>
      <c r="F1" s="125" t="s">
        <v>363</v>
      </c>
      <c r="G1" s="125" t="s">
        <v>364</v>
      </c>
      <c r="H1" s="126" t="s">
        <v>365</v>
      </c>
      <c r="I1" s="29"/>
      <c r="J1" s="29"/>
      <c r="K1" s="29"/>
      <c r="L1" s="29"/>
      <c r="M1" s="29"/>
      <c r="N1" s="29"/>
      <c r="O1" s="29"/>
      <c r="P1" s="29"/>
      <c r="Q1" s="29"/>
      <c r="R1" s="29"/>
      <c r="S1" s="29"/>
      <c r="T1" s="29"/>
      <c r="U1" s="29"/>
      <c r="V1" s="29"/>
      <c r="W1" s="29"/>
      <c r="X1" s="29"/>
      <c r="Y1" s="29"/>
    </row>
    <row r="2">
      <c r="A2" s="127">
        <f>IFERROR(__xludf.DUMMYFUNCTION("query('SEO Implementation Checklist'!B3:E1023, ""SELECT B, C WHERE B is not null and D = '✖'"", 0)"),35.6)</f>
        <v>35.6</v>
      </c>
      <c r="B2" s="128" t="str">
        <f>IFERROR(__xludf.DUMMYFUNCTION("""COMPUTED_VALUE"""),"TL;DR / summary blocks at top of articles?")</f>
        <v>TL;DR / summary blocks at top of articles?</v>
      </c>
      <c r="C2" s="129" t="s">
        <v>228</v>
      </c>
      <c r="D2" s="130" t="s">
        <v>366</v>
      </c>
      <c r="E2" s="131" t="s">
        <v>367</v>
      </c>
      <c r="F2" s="132"/>
      <c r="G2" s="132"/>
      <c r="H2" s="131"/>
    </row>
    <row r="3">
      <c r="A3" s="127">
        <f>IFERROR(__xludf.DUMMYFUNCTION("""COMPUTED_VALUE"""),23.1)</f>
        <v>23.1</v>
      </c>
      <c r="B3" s="128" t="str">
        <f>IFERROR(__xludf.DUMMYFUNCTION("""COMPUTED_VALUE"""),"Is there JSON-LD for in header for: organization:name,url,logo,sameAs")</f>
        <v>Is there JSON-LD for in header for: organization:name,url,logo,sameAs</v>
      </c>
      <c r="C3" s="129" t="s">
        <v>258</v>
      </c>
      <c r="D3" s="130" t="s">
        <v>366</v>
      </c>
      <c r="E3" s="131" t="s">
        <v>367</v>
      </c>
      <c r="F3" s="132"/>
      <c r="G3" s="132"/>
      <c r="H3" s="131"/>
    </row>
    <row r="4">
      <c r="A4" s="127">
        <f>IFERROR(__xludf.DUMMYFUNCTION("""COMPUTED_VALUE"""),23.70000000000001)</f>
        <v>23.7</v>
      </c>
      <c r="B4" s="128" t="str">
        <f>IFERROR(__xludf.DUMMYFUNCTION("""COMPUTED_VALUE"""),"Is there FAQ schema? (Optional - If FAQ is listed on pages, use ChatGPT to create FAQ schema with a screencap)")</f>
        <v>Is there FAQ schema? (Optional - If FAQ is listed on pages, use ChatGPT to create FAQ schema with a screencap)</v>
      </c>
      <c r="C4" s="129" t="s">
        <v>258</v>
      </c>
      <c r="D4" s="130" t="s">
        <v>366</v>
      </c>
      <c r="E4" s="131" t="s">
        <v>367</v>
      </c>
      <c r="F4" s="132"/>
      <c r="G4" s="132"/>
      <c r="H4" s="131"/>
    </row>
    <row r="5">
      <c r="A5" s="133"/>
      <c r="B5" s="128"/>
      <c r="C5" s="134" t="str">
        <f>if(A5="", "", vlookup(A5, 'SEO Implementation Checklist'!$B:$E,4, false))</f>
        <v/>
      </c>
      <c r="D5" s="135"/>
      <c r="E5" s="132"/>
      <c r="F5" s="132"/>
      <c r="G5" s="132"/>
      <c r="H5" s="131"/>
    </row>
    <row r="6">
      <c r="A6" s="133"/>
      <c r="B6" s="128"/>
      <c r="C6" s="134" t="str">
        <f>if(A6="", "", vlookup(A6, 'SEO Implementation Checklist'!$B:$E,4, false))</f>
        <v/>
      </c>
      <c r="D6" s="135"/>
      <c r="E6" s="131"/>
      <c r="F6" s="132"/>
      <c r="G6" s="132"/>
      <c r="H6" s="131"/>
    </row>
    <row r="7" ht="15.0" customHeight="1">
      <c r="A7" s="133"/>
      <c r="B7" s="128"/>
      <c r="C7" s="134" t="str">
        <f>if(A7="", "", vlookup(A7, 'SEO Implementation Checklist'!$B:$E,4, false))</f>
        <v/>
      </c>
      <c r="D7" s="135"/>
      <c r="E7" s="131"/>
      <c r="F7" s="132"/>
      <c r="G7" s="132"/>
      <c r="H7" s="131"/>
    </row>
    <row r="8" ht="15.0" customHeight="1">
      <c r="A8" s="133"/>
      <c r="B8" s="128"/>
      <c r="C8" s="134" t="str">
        <f>if(A8="", "", vlookup(A8, 'SEO Implementation Checklist'!$B:$E,4, false))</f>
        <v/>
      </c>
      <c r="D8" s="135"/>
      <c r="E8" s="131"/>
      <c r="F8" s="132"/>
      <c r="G8" s="132"/>
      <c r="H8" s="131"/>
    </row>
    <row r="9" ht="15.0" customHeight="1">
      <c r="A9" s="133"/>
      <c r="B9" s="128"/>
      <c r="C9" s="134" t="str">
        <f>if(A9="", "", vlookup(A9, 'SEO Implementation Checklist'!$B:$E,4, false))</f>
        <v/>
      </c>
      <c r="D9" s="135"/>
      <c r="E9" s="131"/>
      <c r="F9" s="132"/>
      <c r="G9" s="132"/>
      <c r="H9" s="131"/>
    </row>
    <row r="10" ht="15.0" customHeight="1">
      <c r="A10" s="133"/>
      <c r="B10" s="128"/>
      <c r="C10" s="134" t="str">
        <f>if(A10="", "", vlookup(A10, 'SEO Implementation Checklist'!$B:$E,4, false))</f>
        <v/>
      </c>
      <c r="D10" s="135"/>
      <c r="E10" s="131"/>
      <c r="F10" s="132"/>
      <c r="G10" s="132"/>
      <c r="H10" s="131"/>
    </row>
    <row r="11" ht="15.0" customHeight="1">
      <c r="A11" s="133"/>
      <c r="B11" s="128"/>
      <c r="C11" s="134" t="str">
        <f>if(A11="", "", vlookup(A11, 'SEO Implementation Checklist'!$B:$E,4, false))</f>
        <v/>
      </c>
      <c r="D11" s="135"/>
      <c r="E11" s="131"/>
      <c r="F11" s="132"/>
      <c r="G11" s="132"/>
      <c r="H11" s="131"/>
    </row>
    <row r="12" ht="15.0" customHeight="1">
      <c r="A12" s="133"/>
      <c r="B12" s="128"/>
      <c r="C12" s="134" t="str">
        <f>if(A12="", "", vlookup(A12, 'SEO Implementation Checklist'!$B:$E,4, false))</f>
        <v/>
      </c>
      <c r="D12" s="135"/>
      <c r="E12" s="131"/>
      <c r="F12" s="132"/>
      <c r="G12" s="132"/>
      <c r="H12" s="131"/>
    </row>
    <row r="13" ht="15.0" customHeight="1">
      <c r="A13" s="133"/>
      <c r="B13" s="128"/>
      <c r="C13" s="134" t="str">
        <f>if(A13="", "", vlookup(A13, 'SEO Implementation Checklist'!$B:$E,4, false))</f>
        <v/>
      </c>
      <c r="D13" s="135"/>
      <c r="E13" s="131"/>
      <c r="F13" s="132"/>
      <c r="G13" s="132"/>
      <c r="H13" s="131"/>
    </row>
    <row r="14" ht="15.0" customHeight="1">
      <c r="A14" s="133"/>
      <c r="B14" s="128"/>
      <c r="C14" s="134" t="str">
        <f>if(A14="", "", vlookup(A14, 'SEO Implementation Checklist'!$B:$E,4, false))</f>
        <v/>
      </c>
      <c r="D14" s="135"/>
      <c r="E14" s="131"/>
      <c r="F14" s="132"/>
      <c r="G14" s="132"/>
      <c r="H14" s="131"/>
    </row>
    <row r="15" ht="15.0" customHeight="1">
      <c r="A15" s="133"/>
      <c r="B15" s="128"/>
      <c r="C15" s="134" t="str">
        <f>if(A15="", "", vlookup(A15, 'SEO Implementation Checklist'!$B:$E,4, false))</f>
        <v/>
      </c>
      <c r="D15" s="135"/>
      <c r="E15" s="131"/>
      <c r="F15" s="132"/>
      <c r="G15" s="132"/>
      <c r="H15" s="131"/>
    </row>
    <row r="16" ht="15.0" customHeight="1">
      <c r="A16" s="133"/>
      <c r="B16" s="128"/>
      <c r="C16" s="134" t="str">
        <f>if(A16="", "", vlookup(A16, 'SEO Implementation Checklist'!$B:$E,4, false))</f>
        <v/>
      </c>
      <c r="D16" s="135"/>
      <c r="E16" s="132"/>
      <c r="F16" s="132"/>
      <c r="G16" s="132"/>
      <c r="H16" s="131"/>
    </row>
    <row r="17" ht="15.0" customHeight="1">
      <c r="A17" s="133"/>
      <c r="B17" s="128"/>
      <c r="C17" s="134" t="str">
        <f>if(A17="", "", vlookup(A17, 'SEO Implementation Checklist'!$B:$E,4, false))</f>
        <v/>
      </c>
      <c r="D17" s="135"/>
      <c r="E17" s="131"/>
      <c r="F17" s="132"/>
      <c r="G17" s="132"/>
      <c r="H17" s="131"/>
    </row>
    <row r="18" ht="15.0" customHeight="1">
      <c r="A18" s="133"/>
      <c r="B18" s="128"/>
      <c r="C18" s="134" t="str">
        <f>if(A18="", "", vlookup(A18, 'SEO Implementation Checklist'!$B:$E,4, false))</f>
        <v/>
      </c>
      <c r="D18" s="135"/>
      <c r="E18" s="131"/>
      <c r="F18" s="132"/>
      <c r="G18" s="132"/>
      <c r="H18" s="131"/>
    </row>
    <row r="19" ht="15.0" customHeight="1">
      <c r="A19" s="133"/>
      <c r="B19" s="128"/>
      <c r="C19" s="134" t="str">
        <f>if(A19="", "", vlookup(A19, 'SEO Implementation Checklist'!$B:$E,4, false))</f>
        <v/>
      </c>
      <c r="D19" s="135"/>
      <c r="E19" s="131"/>
      <c r="F19" s="132"/>
      <c r="G19" s="132"/>
      <c r="H19" s="131"/>
    </row>
    <row r="20" ht="15.0" customHeight="1">
      <c r="A20" s="133"/>
      <c r="B20" s="128"/>
      <c r="C20" s="134" t="str">
        <f>if(A20="", "", vlookup(A20, 'SEO Implementation Checklist'!$B:$E,4, false))</f>
        <v/>
      </c>
      <c r="D20" s="135"/>
      <c r="E20" s="131"/>
      <c r="F20" s="132"/>
      <c r="G20" s="132"/>
      <c r="H20" s="131"/>
    </row>
    <row r="21" ht="15.0" customHeight="1">
      <c r="A21" s="127"/>
      <c r="B21" s="128"/>
      <c r="C21" s="134" t="str">
        <f>if(A21="", "", vlookup(A21, 'SEO Implementation Checklist'!$B:$E,4, false))</f>
        <v/>
      </c>
      <c r="D21" s="135"/>
      <c r="E21" s="131"/>
      <c r="F21" s="132"/>
      <c r="G21" s="132"/>
      <c r="H21" s="131"/>
    </row>
    <row r="22" ht="15.75" customHeight="1">
      <c r="A22" s="127"/>
      <c r="B22" s="136"/>
      <c r="C22" s="134"/>
      <c r="D22" s="135"/>
      <c r="E22" s="131"/>
      <c r="F22" s="132"/>
      <c r="G22" s="132"/>
      <c r="H22" s="131"/>
    </row>
    <row r="23" ht="15.75" customHeight="1">
      <c r="A23" s="133"/>
      <c r="B23" s="128"/>
      <c r="C23" s="134"/>
      <c r="D23" s="135"/>
      <c r="E23" s="137"/>
      <c r="F23" s="137"/>
      <c r="G23" s="137"/>
    </row>
    <row r="24" ht="15.75" customHeight="1">
      <c r="A24" s="133"/>
      <c r="B24" s="128"/>
      <c r="C24" s="134"/>
      <c r="D24" s="135"/>
      <c r="E24" s="137"/>
      <c r="F24" s="137"/>
      <c r="G24" s="137"/>
      <c r="H24" s="137"/>
    </row>
    <row r="25" ht="15.75" customHeight="1">
      <c r="A25" s="133"/>
      <c r="B25" s="128"/>
      <c r="C25" s="134"/>
      <c r="D25" s="135"/>
      <c r="E25" s="137"/>
      <c r="F25" s="137"/>
      <c r="G25" s="137"/>
      <c r="H25" s="137"/>
    </row>
    <row r="26" ht="15.75" customHeight="1">
      <c r="A26" s="133"/>
      <c r="B26" s="128"/>
      <c r="C26" s="134"/>
      <c r="D26" s="135"/>
      <c r="E26" s="137"/>
      <c r="F26" s="137"/>
      <c r="G26" s="137"/>
      <c r="H26" s="137"/>
    </row>
    <row r="27" ht="15.75" customHeight="1">
      <c r="A27" s="133"/>
      <c r="B27" s="128"/>
      <c r="C27" s="134"/>
      <c r="D27" s="135"/>
      <c r="E27" s="137"/>
      <c r="F27" s="137"/>
      <c r="G27" s="137"/>
      <c r="H27" s="137"/>
    </row>
    <row r="28" ht="15.75" customHeight="1">
      <c r="A28" s="133"/>
      <c r="B28" s="128"/>
      <c r="C28" s="134"/>
      <c r="D28" s="135"/>
      <c r="E28" s="137"/>
      <c r="F28" s="137"/>
      <c r="G28" s="137"/>
      <c r="H28" s="137"/>
    </row>
    <row r="29" ht="15.75" customHeight="1">
      <c r="A29" s="133"/>
      <c r="B29" s="128"/>
      <c r="C29" s="134"/>
      <c r="D29" s="135"/>
      <c r="E29" s="137"/>
      <c r="F29" s="137"/>
      <c r="G29" s="137"/>
      <c r="H29" s="137"/>
    </row>
    <row r="30" ht="15.75" customHeight="1">
      <c r="A30" s="133"/>
      <c r="B30" s="128"/>
      <c r="C30" s="134"/>
      <c r="D30" s="135"/>
      <c r="E30" s="137"/>
      <c r="F30" s="137"/>
      <c r="G30" s="137"/>
      <c r="H30" s="137"/>
    </row>
    <row r="31" ht="15.75" customHeight="1">
      <c r="A31" s="133"/>
      <c r="B31" s="128"/>
      <c r="C31" s="134"/>
      <c r="D31" s="135"/>
      <c r="E31" s="137"/>
      <c r="F31" s="137"/>
      <c r="G31" s="137"/>
      <c r="H31" s="137"/>
    </row>
    <row r="32" ht="15.75" customHeight="1">
      <c r="A32" s="133"/>
      <c r="B32" s="128"/>
      <c r="C32" s="134"/>
      <c r="D32" s="135"/>
      <c r="E32" s="137"/>
      <c r="F32" s="137"/>
      <c r="G32" s="137"/>
      <c r="H32" s="137"/>
    </row>
    <row r="33" ht="15.75" customHeight="1">
      <c r="A33" s="133"/>
      <c r="B33" s="128"/>
      <c r="C33" s="134"/>
      <c r="D33" s="135"/>
      <c r="E33" s="137"/>
      <c r="F33" s="137"/>
      <c r="G33" s="137"/>
      <c r="H33" s="137"/>
    </row>
    <row r="34" ht="15.75" customHeight="1">
      <c r="A34" s="133"/>
      <c r="B34" s="128"/>
      <c r="C34" s="134"/>
      <c r="D34" s="135"/>
      <c r="E34" s="137"/>
      <c r="F34" s="137"/>
      <c r="G34" s="137"/>
      <c r="H34" s="137"/>
    </row>
    <row r="35" ht="15.75" customHeight="1">
      <c r="A35" s="133"/>
      <c r="B35" s="128"/>
      <c r="C35" s="134"/>
      <c r="D35" s="135"/>
      <c r="E35" s="137"/>
      <c r="F35" s="137"/>
      <c r="G35" s="137"/>
      <c r="H35" s="137"/>
    </row>
    <row r="36" ht="15.75" customHeight="1">
      <c r="A36" s="133"/>
      <c r="B36" s="128"/>
      <c r="C36" s="134"/>
      <c r="D36" s="135"/>
      <c r="E36" s="137"/>
      <c r="F36" s="137"/>
      <c r="G36" s="137"/>
      <c r="H36" s="137"/>
    </row>
    <row r="37" ht="15.75" customHeight="1">
      <c r="A37" s="133"/>
      <c r="B37" s="128"/>
      <c r="C37" s="134"/>
      <c r="D37" s="135"/>
      <c r="E37" s="137"/>
      <c r="F37" s="137"/>
      <c r="G37" s="137"/>
      <c r="H37" s="137"/>
    </row>
    <row r="38" ht="15.75" customHeight="1">
      <c r="A38" s="133"/>
      <c r="B38" s="128"/>
      <c r="C38" s="134"/>
      <c r="D38" s="135"/>
      <c r="E38" s="137"/>
      <c r="F38" s="137"/>
      <c r="G38" s="137"/>
      <c r="H38" s="137"/>
    </row>
    <row r="39" ht="15.75" customHeight="1">
      <c r="A39" s="133"/>
      <c r="B39" s="128"/>
      <c r="C39" s="134"/>
      <c r="D39" s="135"/>
      <c r="E39" s="137"/>
      <c r="F39" s="137"/>
      <c r="G39" s="137"/>
      <c r="H39" s="137"/>
    </row>
    <row r="40" ht="15.75" customHeight="1">
      <c r="A40" s="133"/>
      <c r="B40" s="128"/>
      <c r="C40" s="134"/>
      <c r="D40" s="135"/>
      <c r="E40" s="137"/>
      <c r="F40" s="137"/>
      <c r="G40" s="137"/>
      <c r="H40" s="137"/>
    </row>
    <row r="41" ht="15.75" customHeight="1">
      <c r="A41" s="133"/>
      <c r="B41" s="128"/>
      <c r="C41" s="134"/>
      <c r="D41" s="135"/>
      <c r="E41" s="137"/>
      <c r="F41" s="137"/>
      <c r="G41" s="137"/>
      <c r="H41" s="137"/>
    </row>
    <row r="42" ht="15.75" customHeight="1">
      <c r="A42" s="133"/>
      <c r="B42" s="128"/>
      <c r="C42" s="134"/>
      <c r="D42" s="135"/>
      <c r="E42" s="137"/>
      <c r="F42" s="137"/>
      <c r="G42" s="137"/>
      <c r="H42" s="137"/>
    </row>
    <row r="43" ht="15.75" customHeight="1">
      <c r="A43" s="133"/>
      <c r="B43" s="128"/>
      <c r="C43" s="134"/>
      <c r="D43" s="135"/>
      <c r="E43" s="137"/>
      <c r="F43" s="137"/>
      <c r="G43" s="137"/>
      <c r="H43" s="137"/>
    </row>
    <row r="44" ht="15.75" customHeight="1">
      <c r="A44" s="133"/>
      <c r="B44" s="128"/>
      <c r="C44" s="134"/>
      <c r="D44" s="135"/>
      <c r="E44" s="137"/>
      <c r="F44" s="137"/>
      <c r="G44" s="137"/>
      <c r="H44" s="137"/>
    </row>
    <row r="45" ht="15.75" customHeight="1">
      <c r="A45" s="133"/>
      <c r="B45" s="128"/>
      <c r="C45" s="134"/>
      <c r="D45" s="135"/>
      <c r="E45" s="137"/>
      <c r="F45" s="137"/>
      <c r="G45" s="137"/>
      <c r="H45" s="137"/>
    </row>
    <row r="46" ht="15.75" customHeight="1">
      <c r="A46" s="133"/>
      <c r="B46" s="128"/>
      <c r="C46" s="134"/>
      <c r="D46" s="135"/>
      <c r="E46" s="137"/>
      <c r="F46" s="137"/>
      <c r="G46" s="137"/>
      <c r="H46" s="137"/>
    </row>
    <row r="47" ht="15.75" customHeight="1">
      <c r="A47" s="133"/>
      <c r="B47" s="128"/>
      <c r="C47" s="134"/>
      <c r="D47" s="135"/>
      <c r="E47" s="137"/>
      <c r="F47" s="137"/>
      <c r="G47" s="137"/>
      <c r="H47" s="137"/>
    </row>
    <row r="48" ht="15.75" customHeight="1">
      <c r="A48" s="133"/>
      <c r="B48" s="128"/>
      <c r="C48" s="134"/>
      <c r="D48" s="135"/>
      <c r="E48" s="137"/>
      <c r="F48" s="137"/>
      <c r="G48" s="137"/>
      <c r="H48" s="137"/>
    </row>
    <row r="49" ht="15.75" customHeight="1">
      <c r="A49" s="133"/>
      <c r="B49" s="128"/>
      <c r="C49" s="134"/>
      <c r="D49" s="135"/>
      <c r="E49" s="137"/>
      <c r="F49" s="137"/>
      <c r="G49" s="137"/>
      <c r="H49" s="137"/>
    </row>
    <row r="50" ht="15.75" customHeight="1">
      <c r="A50" s="133"/>
      <c r="B50" s="128"/>
      <c r="C50" s="134"/>
      <c r="D50" s="135"/>
      <c r="E50" s="137"/>
      <c r="F50" s="137"/>
      <c r="G50" s="137"/>
      <c r="H50" s="137"/>
    </row>
    <row r="51" ht="15.75" customHeight="1">
      <c r="A51" s="133"/>
      <c r="B51" s="128"/>
      <c r="C51" s="134"/>
      <c r="D51" s="135"/>
      <c r="E51" s="137"/>
      <c r="F51" s="137"/>
      <c r="G51" s="137"/>
      <c r="H51" s="137"/>
    </row>
    <row r="52" ht="15.75" customHeight="1">
      <c r="A52" s="133"/>
      <c r="B52" s="128"/>
      <c r="C52" s="134"/>
      <c r="D52" s="135"/>
      <c r="E52" s="137"/>
      <c r="F52" s="137"/>
      <c r="G52" s="137"/>
      <c r="H52" s="137"/>
    </row>
    <row r="53" ht="15.75" customHeight="1">
      <c r="A53" s="133"/>
      <c r="B53" s="128"/>
      <c r="C53" s="134"/>
      <c r="D53" s="135"/>
      <c r="E53" s="137"/>
      <c r="F53" s="137"/>
      <c r="G53" s="137"/>
      <c r="H53" s="137"/>
    </row>
    <row r="54" ht="15.75" customHeight="1">
      <c r="A54" s="133"/>
      <c r="B54" s="128"/>
      <c r="C54" s="134"/>
      <c r="D54" s="135"/>
      <c r="E54" s="137"/>
      <c r="F54" s="137"/>
      <c r="G54" s="137"/>
      <c r="H54" s="137"/>
    </row>
    <row r="55" ht="15.75" customHeight="1">
      <c r="A55" s="133"/>
      <c r="B55" s="128"/>
      <c r="C55" s="134"/>
      <c r="D55" s="135"/>
      <c r="E55" s="137"/>
      <c r="F55" s="137"/>
      <c r="G55" s="137"/>
      <c r="H55" s="137"/>
    </row>
    <row r="56" ht="15.75" customHeight="1">
      <c r="A56" s="133"/>
      <c r="B56" s="128"/>
      <c r="C56" s="134"/>
      <c r="D56" s="135"/>
      <c r="E56" s="137"/>
      <c r="F56" s="137"/>
      <c r="G56" s="137"/>
      <c r="H56" s="137"/>
    </row>
    <row r="57" ht="15.75" customHeight="1">
      <c r="A57" s="133"/>
      <c r="B57" s="128"/>
      <c r="C57" s="134"/>
      <c r="D57" s="135"/>
      <c r="E57" s="137"/>
      <c r="F57" s="137"/>
      <c r="G57" s="137"/>
      <c r="H57" s="137"/>
    </row>
    <row r="58" ht="15.75" customHeight="1">
      <c r="A58" s="133"/>
      <c r="B58" s="128"/>
      <c r="C58" s="134"/>
      <c r="D58" s="135"/>
      <c r="E58" s="137"/>
      <c r="F58" s="137"/>
      <c r="G58" s="137"/>
      <c r="H58" s="137"/>
    </row>
    <row r="59" ht="15.75" customHeight="1">
      <c r="A59" s="133"/>
      <c r="B59" s="128"/>
      <c r="C59" s="134"/>
      <c r="D59" s="135"/>
      <c r="E59" s="137"/>
      <c r="F59" s="137"/>
      <c r="G59" s="137"/>
      <c r="H59" s="137"/>
    </row>
    <row r="60" ht="15.75" customHeight="1">
      <c r="A60" s="133"/>
      <c r="B60" s="128"/>
      <c r="C60" s="134"/>
      <c r="D60" s="135"/>
      <c r="E60" s="137"/>
      <c r="F60" s="137"/>
      <c r="G60" s="137"/>
      <c r="H60" s="137"/>
    </row>
    <row r="61" ht="15.75" customHeight="1">
      <c r="A61" s="133"/>
      <c r="B61" s="128"/>
      <c r="C61" s="134"/>
      <c r="D61" s="135"/>
      <c r="E61" s="137"/>
      <c r="F61" s="137"/>
      <c r="G61" s="137"/>
      <c r="H61" s="137"/>
    </row>
    <row r="62" ht="15.75" customHeight="1">
      <c r="A62" s="133"/>
      <c r="B62" s="128"/>
      <c r="C62" s="134"/>
      <c r="D62" s="135"/>
      <c r="E62" s="137"/>
      <c r="F62" s="137"/>
      <c r="G62" s="137"/>
      <c r="H62" s="137"/>
    </row>
    <row r="63" ht="15.75" customHeight="1">
      <c r="A63" s="133"/>
      <c r="B63" s="128"/>
      <c r="C63" s="134"/>
      <c r="D63" s="135"/>
      <c r="E63" s="137"/>
      <c r="F63" s="137"/>
      <c r="G63" s="137"/>
      <c r="H63" s="137"/>
    </row>
    <row r="64" ht="15.75" customHeight="1">
      <c r="A64" s="133"/>
      <c r="B64" s="128"/>
      <c r="C64" s="134"/>
      <c r="D64" s="135"/>
      <c r="E64" s="137"/>
      <c r="F64" s="137"/>
      <c r="G64" s="137"/>
      <c r="H64" s="137"/>
    </row>
    <row r="65" ht="15.75" customHeight="1">
      <c r="A65" s="133"/>
      <c r="B65" s="128"/>
      <c r="C65" s="134"/>
      <c r="D65" s="135"/>
      <c r="E65" s="137"/>
      <c r="F65" s="137"/>
      <c r="G65" s="137"/>
      <c r="H65" s="137"/>
    </row>
    <row r="66" ht="15.75" customHeight="1">
      <c r="A66" s="133"/>
      <c r="B66" s="128"/>
      <c r="C66" s="134"/>
      <c r="D66" s="135"/>
      <c r="E66" s="137"/>
      <c r="F66" s="137"/>
      <c r="G66" s="137"/>
      <c r="H66" s="137"/>
    </row>
    <row r="67" ht="15.75" customHeight="1">
      <c r="A67" s="133"/>
      <c r="B67" s="128"/>
      <c r="C67" s="134"/>
      <c r="D67" s="135"/>
      <c r="E67" s="137"/>
      <c r="F67" s="137"/>
      <c r="G67" s="137"/>
      <c r="H67" s="137"/>
    </row>
    <row r="68" ht="15.75" customHeight="1">
      <c r="A68" s="133"/>
      <c r="B68" s="128"/>
      <c r="C68" s="134"/>
      <c r="D68" s="135"/>
      <c r="E68" s="137"/>
      <c r="F68" s="137"/>
      <c r="G68" s="137"/>
      <c r="H68" s="137"/>
    </row>
    <row r="69" ht="15.75" customHeight="1">
      <c r="A69" s="133"/>
      <c r="B69" s="128"/>
      <c r="C69" s="134"/>
      <c r="D69" s="135"/>
      <c r="E69" s="137"/>
      <c r="F69" s="137"/>
      <c r="G69" s="137"/>
      <c r="H69" s="137"/>
    </row>
    <row r="70" ht="15.75" customHeight="1">
      <c r="A70" s="133"/>
      <c r="B70" s="128"/>
      <c r="C70" s="134"/>
      <c r="D70" s="135"/>
      <c r="E70" s="137"/>
      <c r="F70" s="137"/>
      <c r="G70" s="137"/>
      <c r="H70" s="137"/>
    </row>
    <row r="71" ht="15.75" customHeight="1">
      <c r="A71" s="133"/>
      <c r="B71" s="128"/>
      <c r="C71" s="134"/>
      <c r="D71" s="135"/>
      <c r="E71" s="137"/>
      <c r="F71" s="137"/>
      <c r="G71" s="137"/>
      <c r="H71" s="137"/>
    </row>
    <row r="72" ht="15.75" customHeight="1">
      <c r="A72" s="133"/>
      <c r="B72" s="128"/>
      <c r="C72" s="134"/>
      <c r="D72" s="135"/>
      <c r="E72" s="137"/>
      <c r="F72" s="137"/>
      <c r="G72" s="137"/>
      <c r="H72" s="137"/>
    </row>
    <row r="73" ht="15.75" customHeight="1">
      <c r="A73" s="133"/>
      <c r="B73" s="128"/>
      <c r="C73" s="134"/>
      <c r="D73" s="135"/>
      <c r="E73" s="137"/>
      <c r="F73" s="137"/>
      <c r="G73" s="137"/>
      <c r="H73" s="137"/>
    </row>
    <row r="74" ht="15.75" customHeight="1">
      <c r="A74" s="133"/>
      <c r="B74" s="128"/>
      <c r="C74" s="134"/>
      <c r="D74" s="135"/>
      <c r="E74" s="137"/>
      <c r="F74" s="137"/>
      <c r="G74" s="137"/>
      <c r="H74" s="137"/>
    </row>
    <row r="75" ht="15.75" customHeight="1">
      <c r="A75" s="133"/>
      <c r="B75" s="128"/>
      <c r="C75" s="134" t="str">
        <f>if(A75="", "", vlookup(A75+0.01, 'SEO Implementation Checklist'!$B:$E, counta('SEO Implementation Checklist'!$B$2:$E$2), true))</f>
        <v/>
      </c>
      <c r="D75" s="135" t="s">
        <v>368</v>
      </c>
      <c r="E75" s="137" t="s">
        <v>369</v>
      </c>
      <c r="F75" s="137" t="b">
        <v>0</v>
      </c>
      <c r="G75" s="137" t="b">
        <v>0</v>
      </c>
      <c r="H75" s="137"/>
    </row>
    <row r="76" ht="15.75" customHeight="1">
      <c r="A76" s="133"/>
      <c r="B76" s="128"/>
      <c r="C76" s="134" t="str">
        <f>if(A76="", "", vlookup(A76+0.01, 'SEO Implementation Checklist'!$B:$E, counta('SEO Implementation Checklist'!$B$2:$E$2), true))</f>
        <v/>
      </c>
      <c r="D76" s="135" t="s">
        <v>368</v>
      </c>
      <c r="E76" s="137" t="s">
        <v>369</v>
      </c>
      <c r="F76" s="137" t="b">
        <v>0</v>
      </c>
      <c r="G76" s="137" t="b">
        <v>0</v>
      </c>
      <c r="H76" s="137"/>
    </row>
    <row r="77" ht="15.75" customHeight="1">
      <c r="A77" s="133"/>
      <c r="B77" s="128"/>
      <c r="C77" s="134" t="str">
        <f>if(A77="", "", vlookup(A77+0.01, 'SEO Implementation Checklist'!$B:$E, counta('SEO Implementation Checklist'!$B$2:$E$2), true))</f>
        <v/>
      </c>
      <c r="D77" s="135" t="s">
        <v>368</v>
      </c>
      <c r="E77" s="137" t="s">
        <v>369</v>
      </c>
      <c r="F77" s="137" t="b">
        <v>0</v>
      </c>
      <c r="G77" s="137" t="b">
        <v>0</v>
      </c>
      <c r="H77" s="137"/>
    </row>
    <row r="78" ht="15.75" customHeight="1">
      <c r="A78" s="133"/>
      <c r="B78" s="128"/>
      <c r="C78" s="134" t="str">
        <f>if(A78="", "", vlookup(A78+0.01, 'SEO Implementation Checklist'!$B:$E, counta('SEO Implementation Checklist'!$B$2:$E$2), true))</f>
        <v/>
      </c>
      <c r="D78" s="135" t="s">
        <v>368</v>
      </c>
      <c r="E78" s="137" t="s">
        <v>369</v>
      </c>
      <c r="F78" s="137" t="b">
        <v>0</v>
      </c>
      <c r="G78" s="137" t="b">
        <v>0</v>
      </c>
      <c r="H78" s="137"/>
    </row>
    <row r="79" ht="15.75" customHeight="1">
      <c r="A79" s="133"/>
      <c r="B79" s="128"/>
      <c r="C79" s="134" t="str">
        <f>if(A79="", "", vlookup(A79+0.01, 'SEO Implementation Checklist'!$B:$E, counta('SEO Implementation Checklist'!$B$2:$E$2), true))</f>
        <v/>
      </c>
      <c r="D79" s="135" t="s">
        <v>368</v>
      </c>
      <c r="E79" s="137" t="s">
        <v>369</v>
      </c>
      <c r="F79" s="137" t="b">
        <v>0</v>
      </c>
      <c r="G79" s="137" t="b">
        <v>0</v>
      </c>
      <c r="H79" s="137"/>
    </row>
    <row r="80" ht="15.75" customHeight="1">
      <c r="A80" s="133"/>
      <c r="B80" s="128"/>
      <c r="C80" s="134" t="str">
        <f>if(A80="", "", vlookup(A80+0.01, 'SEO Implementation Checklist'!$B:$E, counta('SEO Implementation Checklist'!$B$2:$E$2), true))</f>
        <v/>
      </c>
      <c r="D80" s="135" t="s">
        <v>368</v>
      </c>
      <c r="E80" s="137" t="s">
        <v>369</v>
      </c>
      <c r="F80" s="137" t="b">
        <v>0</v>
      </c>
      <c r="G80" s="137" t="b">
        <v>0</v>
      </c>
      <c r="H80" s="137"/>
    </row>
    <row r="81" ht="15.75" customHeight="1">
      <c r="A81" s="133"/>
      <c r="B81" s="128"/>
      <c r="C81" s="134" t="str">
        <f>if(A81="", "", vlookup(A81+0.01, 'SEO Implementation Checklist'!$B:$E, counta('SEO Implementation Checklist'!$B$2:$E$2), true))</f>
        <v/>
      </c>
      <c r="D81" s="135" t="s">
        <v>368</v>
      </c>
      <c r="E81" s="137" t="s">
        <v>369</v>
      </c>
      <c r="F81" s="137" t="b">
        <v>0</v>
      </c>
      <c r="G81" s="137" t="b">
        <v>0</v>
      </c>
      <c r="H81" s="137"/>
    </row>
    <row r="82" ht="15.75" customHeight="1">
      <c r="A82" s="133"/>
      <c r="B82" s="128"/>
      <c r="C82" s="134" t="str">
        <f>if(A82="", "", vlookup(A82+0.01, 'SEO Implementation Checklist'!$B:$E, counta('SEO Implementation Checklist'!$B$2:$E$2), true))</f>
        <v/>
      </c>
      <c r="D82" s="135" t="s">
        <v>368</v>
      </c>
      <c r="E82" s="137" t="s">
        <v>369</v>
      </c>
      <c r="F82" s="137" t="b">
        <v>0</v>
      </c>
      <c r="G82" s="137" t="b">
        <v>0</v>
      </c>
      <c r="H82" s="137"/>
    </row>
    <row r="83" ht="15.75" customHeight="1">
      <c r="A83" s="133"/>
      <c r="B83" s="128"/>
      <c r="C83" s="134" t="str">
        <f>if(A83="", "", vlookup(A83+0.01, 'SEO Implementation Checklist'!$B:$E, counta('SEO Implementation Checklist'!$B$2:$E$2), true))</f>
        <v/>
      </c>
      <c r="D83" s="135" t="s">
        <v>368</v>
      </c>
      <c r="E83" s="137" t="s">
        <v>369</v>
      </c>
      <c r="F83" s="137" t="b">
        <v>0</v>
      </c>
      <c r="G83" s="137" t="b">
        <v>0</v>
      </c>
      <c r="H83" s="137"/>
    </row>
    <row r="84" ht="15.75" customHeight="1">
      <c r="A84" s="133"/>
      <c r="B84" s="128"/>
      <c r="C84" s="134" t="str">
        <f>if(A84="", "", vlookup(A84+0.01, 'SEO Implementation Checklist'!$B:$E, counta('SEO Implementation Checklist'!$B$2:$E$2), true))</f>
        <v/>
      </c>
      <c r="D84" s="135" t="s">
        <v>368</v>
      </c>
      <c r="E84" s="137" t="s">
        <v>369</v>
      </c>
      <c r="F84" s="137" t="b">
        <v>0</v>
      </c>
      <c r="G84" s="137" t="b">
        <v>0</v>
      </c>
      <c r="H84" s="137"/>
    </row>
    <row r="85" ht="15.75" customHeight="1">
      <c r="A85" s="133"/>
      <c r="B85" s="128"/>
      <c r="C85" s="134" t="str">
        <f>if(A85="", "", vlookup(A85+0.01, 'SEO Implementation Checklist'!$B:$E, counta('SEO Implementation Checklist'!$B$2:$E$2), true))</f>
        <v/>
      </c>
      <c r="D85" s="135" t="s">
        <v>368</v>
      </c>
      <c r="E85" s="137" t="s">
        <v>369</v>
      </c>
      <c r="F85" s="137" t="b">
        <v>0</v>
      </c>
      <c r="G85" s="137" t="b">
        <v>0</v>
      </c>
      <c r="H85" s="137"/>
    </row>
    <row r="86" ht="15.75" customHeight="1">
      <c r="A86" s="133"/>
      <c r="B86" s="128"/>
      <c r="C86" s="134" t="str">
        <f>if(A86="", "", vlookup(A86+0.01, 'SEO Implementation Checklist'!$B:$E, counta('SEO Implementation Checklist'!$B$2:$E$2), true))</f>
        <v/>
      </c>
      <c r="D86" s="135" t="s">
        <v>368</v>
      </c>
      <c r="E86" s="137" t="s">
        <v>369</v>
      </c>
      <c r="F86" s="137" t="b">
        <v>0</v>
      </c>
      <c r="G86" s="137" t="b">
        <v>0</v>
      </c>
      <c r="H86" s="137"/>
    </row>
    <row r="87" ht="15.75" customHeight="1">
      <c r="A87" s="133"/>
      <c r="B87" s="128"/>
      <c r="C87" s="134" t="str">
        <f>if(A87="", "", vlookup(A87+0.01, 'SEO Implementation Checklist'!$B:$E, counta('SEO Implementation Checklist'!$B$2:$E$2), true))</f>
        <v/>
      </c>
      <c r="D87" s="135" t="s">
        <v>368</v>
      </c>
      <c r="E87" s="137" t="s">
        <v>369</v>
      </c>
      <c r="F87" s="137" t="b">
        <v>0</v>
      </c>
      <c r="G87" s="137" t="b">
        <v>0</v>
      </c>
      <c r="H87" s="137"/>
    </row>
    <row r="88" ht="15.75" customHeight="1">
      <c r="A88" s="133"/>
      <c r="B88" s="128"/>
      <c r="C88" s="134" t="str">
        <f>if(A88="", "", vlookup(A88+0.01, 'SEO Implementation Checklist'!$B:$E, counta('SEO Implementation Checklist'!$B$2:$E$2), true))</f>
        <v/>
      </c>
      <c r="D88" s="135" t="s">
        <v>368</v>
      </c>
      <c r="E88" s="137" t="s">
        <v>369</v>
      </c>
      <c r="F88" s="137" t="b">
        <v>0</v>
      </c>
      <c r="G88" s="137" t="b">
        <v>0</v>
      </c>
      <c r="H88" s="137"/>
    </row>
    <row r="89" ht="15.75" customHeight="1">
      <c r="A89" s="133"/>
      <c r="B89" s="128"/>
      <c r="C89" s="134" t="str">
        <f>if(A89="", "", vlookup(A89+0.01, 'SEO Implementation Checklist'!$B:$E, counta('SEO Implementation Checklist'!$B$2:$E$2), true))</f>
        <v/>
      </c>
      <c r="D89" s="135" t="s">
        <v>368</v>
      </c>
      <c r="E89" s="137" t="s">
        <v>369</v>
      </c>
      <c r="F89" s="137" t="b">
        <v>0</v>
      </c>
      <c r="G89" s="137" t="b">
        <v>0</v>
      </c>
      <c r="H89" s="137"/>
    </row>
    <row r="90" ht="15.75" customHeight="1">
      <c r="A90" s="133"/>
      <c r="B90" s="128"/>
      <c r="C90" s="134" t="str">
        <f>if(A90="", "", vlookup(A90+0.01, 'SEO Implementation Checklist'!$B:$E, counta('SEO Implementation Checklist'!$B$2:$E$2), true))</f>
        <v/>
      </c>
      <c r="D90" s="135" t="s">
        <v>368</v>
      </c>
      <c r="E90" s="137" t="s">
        <v>369</v>
      </c>
      <c r="F90" s="137" t="b">
        <v>0</v>
      </c>
      <c r="G90" s="137" t="b">
        <v>0</v>
      </c>
      <c r="H90" s="137"/>
    </row>
    <row r="91" ht="15.75" customHeight="1">
      <c r="A91" s="133"/>
      <c r="B91" s="128"/>
      <c r="C91" s="134" t="str">
        <f>if(A91="", "", vlookup(A91+0.01, 'SEO Implementation Checklist'!$B:$E, counta('SEO Implementation Checklist'!$B$2:$E$2), true))</f>
        <v/>
      </c>
      <c r="D91" s="135" t="s">
        <v>368</v>
      </c>
      <c r="E91" s="137" t="s">
        <v>369</v>
      </c>
      <c r="F91" s="137" t="b">
        <v>0</v>
      </c>
      <c r="G91" s="137" t="b">
        <v>0</v>
      </c>
      <c r="H91" s="137"/>
    </row>
    <row r="92" ht="15.75" customHeight="1">
      <c r="A92" s="133"/>
      <c r="B92" s="128"/>
      <c r="C92" s="134" t="str">
        <f>if(A92="", "", vlookup(A92+0.01, 'SEO Implementation Checklist'!$B:$E, counta('SEO Implementation Checklist'!$B$2:$E$2), true))</f>
        <v/>
      </c>
      <c r="D92" s="135" t="s">
        <v>368</v>
      </c>
      <c r="E92" s="137" t="s">
        <v>369</v>
      </c>
      <c r="F92" s="137" t="b">
        <v>0</v>
      </c>
      <c r="G92" s="137" t="b">
        <v>0</v>
      </c>
      <c r="H92" s="137"/>
    </row>
    <row r="93" ht="15.75" customHeight="1">
      <c r="A93" s="133"/>
      <c r="B93" s="128"/>
      <c r="C93" s="134" t="str">
        <f>if(A93="", "", vlookup(A93+0.01, 'SEO Implementation Checklist'!$B:$E, counta('SEO Implementation Checklist'!$B$2:$E$2), true))</f>
        <v/>
      </c>
      <c r="D93" s="135" t="s">
        <v>368</v>
      </c>
      <c r="E93" s="137" t="s">
        <v>369</v>
      </c>
      <c r="F93" s="137" t="b">
        <v>0</v>
      </c>
      <c r="G93" s="137" t="b">
        <v>0</v>
      </c>
      <c r="H93" s="137"/>
    </row>
    <row r="94" ht="15.75" customHeight="1">
      <c r="A94" s="133"/>
      <c r="B94" s="128"/>
      <c r="C94" s="134" t="str">
        <f>if(A94="", "", vlookup(A94+0.01, 'SEO Implementation Checklist'!$B:$E, counta('SEO Implementation Checklist'!$B$2:$E$2), true))</f>
        <v/>
      </c>
      <c r="D94" s="135" t="s">
        <v>368</v>
      </c>
      <c r="E94" s="137" t="s">
        <v>369</v>
      </c>
      <c r="F94" s="137" t="b">
        <v>0</v>
      </c>
      <c r="G94" s="137" t="b">
        <v>0</v>
      </c>
      <c r="H94" s="137"/>
    </row>
    <row r="95" ht="15.75" customHeight="1">
      <c r="A95" s="133"/>
      <c r="B95" s="128"/>
      <c r="C95" s="134" t="str">
        <f>if(A95="", "", vlookup(A95+0.01, 'SEO Implementation Checklist'!$B:$E, counta('SEO Implementation Checklist'!$B$2:$E$2), true))</f>
        <v/>
      </c>
      <c r="D95" s="135" t="s">
        <v>368</v>
      </c>
      <c r="E95" s="137" t="s">
        <v>369</v>
      </c>
      <c r="F95" s="137" t="b">
        <v>0</v>
      </c>
      <c r="G95" s="137" t="b">
        <v>0</v>
      </c>
      <c r="H95" s="137"/>
    </row>
    <row r="96" ht="15.75" customHeight="1">
      <c r="A96" s="133"/>
      <c r="B96" s="128"/>
      <c r="C96" s="134" t="str">
        <f>if(A96="", "", vlookup(A96+0.01, 'SEO Implementation Checklist'!$B:$E, counta('SEO Implementation Checklist'!$B$2:$E$2), true))</f>
        <v/>
      </c>
      <c r="D96" s="135" t="s">
        <v>368</v>
      </c>
      <c r="E96" s="137" t="s">
        <v>369</v>
      </c>
      <c r="F96" s="137" t="b">
        <v>0</v>
      </c>
      <c r="G96" s="137" t="b">
        <v>0</v>
      </c>
      <c r="H96" s="137"/>
    </row>
    <row r="97" ht="15.75" customHeight="1">
      <c r="A97" s="133"/>
      <c r="B97" s="128"/>
      <c r="C97" s="134" t="str">
        <f>if(A97="", "", vlookup(A97+0.01, 'SEO Implementation Checklist'!$B:$E, counta('SEO Implementation Checklist'!$B$2:$E$2), true))</f>
        <v/>
      </c>
      <c r="D97" s="135" t="s">
        <v>368</v>
      </c>
      <c r="E97" s="137" t="s">
        <v>369</v>
      </c>
      <c r="F97" s="137" t="b">
        <v>0</v>
      </c>
      <c r="G97" s="137" t="b">
        <v>0</v>
      </c>
      <c r="H97" s="137"/>
    </row>
    <row r="98" ht="15.75" customHeight="1">
      <c r="A98" s="133"/>
      <c r="B98" s="128"/>
      <c r="C98" s="134" t="str">
        <f>if(A98="", "", vlookup(A98+0.01, 'SEO Implementation Checklist'!$B:$E, counta('SEO Implementation Checklist'!$B$2:$E$2), true))</f>
        <v/>
      </c>
      <c r="D98" s="135" t="s">
        <v>368</v>
      </c>
      <c r="E98" s="137" t="s">
        <v>369</v>
      </c>
      <c r="F98" s="137" t="b">
        <v>0</v>
      </c>
      <c r="G98" s="137" t="b">
        <v>0</v>
      </c>
      <c r="H98" s="137"/>
    </row>
    <row r="99" ht="15.75" customHeight="1">
      <c r="A99" s="133"/>
      <c r="B99" s="128"/>
      <c r="C99" s="134" t="str">
        <f>if(A99="", "", vlookup(A99+0.01, 'SEO Implementation Checklist'!$B:$E, counta('SEO Implementation Checklist'!$B$2:$E$2), true))</f>
        <v/>
      </c>
      <c r="D99" s="135" t="s">
        <v>368</v>
      </c>
      <c r="E99" s="137" t="s">
        <v>369</v>
      </c>
      <c r="F99" s="137" t="b">
        <v>0</v>
      </c>
      <c r="G99" s="137" t="b">
        <v>0</v>
      </c>
      <c r="H99" s="137"/>
    </row>
    <row r="100" ht="15.75" customHeight="1">
      <c r="A100" s="133"/>
      <c r="B100" s="128"/>
      <c r="C100" s="134" t="str">
        <f>if(A100="", "", vlookup(A100+0.01, 'SEO Implementation Checklist'!$B:$E, counta('SEO Implementation Checklist'!$B$2:$E$2), true))</f>
        <v/>
      </c>
      <c r="D100" s="135" t="s">
        <v>368</v>
      </c>
      <c r="E100" s="137" t="s">
        <v>369</v>
      </c>
      <c r="F100" s="137" t="b">
        <v>0</v>
      </c>
      <c r="G100" s="137" t="b">
        <v>0</v>
      </c>
      <c r="H100" s="137"/>
    </row>
    <row r="101" ht="15.75" customHeight="1">
      <c r="A101" s="133"/>
      <c r="B101" s="128"/>
      <c r="C101" s="134" t="str">
        <f>if(A101="", "", vlookup(A101+0.01, 'SEO Implementation Checklist'!$B:$E, counta('SEO Implementation Checklist'!$B$2:$E$2), true))</f>
        <v/>
      </c>
      <c r="D101" s="135" t="s">
        <v>368</v>
      </c>
      <c r="E101" s="137" t="s">
        <v>369</v>
      </c>
      <c r="F101" s="137" t="b">
        <v>0</v>
      </c>
      <c r="G101" s="137" t="b">
        <v>0</v>
      </c>
      <c r="H101" s="137"/>
    </row>
    <row r="102" ht="15.75" customHeight="1">
      <c r="A102" s="133"/>
      <c r="B102" s="128"/>
      <c r="C102" s="134" t="str">
        <f>if(A102="", "", vlookup(A102+0.01, 'SEO Implementation Checklist'!$B:$E, counta('SEO Implementation Checklist'!$B$2:$E$2), true))</f>
        <v/>
      </c>
      <c r="D102" s="135" t="s">
        <v>368</v>
      </c>
      <c r="E102" s="137" t="s">
        <v>369</v>
      </c>
      <c r="F102" s="137" t="b">
        <v>0</v>
      </c>
      <c r="G102" s="137" t="b">
        <v>0</v>
      </c>
      <c r="H102" s="137"/>
    </row>
    <row r="103" ht="15.75" customHeight="1">
      <c r="A103" s="133"/>
      <c r="B103" s="128"/>
      <c r="C103" s="134" t="str">
        <f>if(A103="", "", vlookup(A103+0.01, 'SEO Implementation Checklist'!$B:$E, counta('SEO Implementation Checklist'!$B$2:$E$2), true))</f>
        <v/>
      </c>
      <c r="D103" s="135" t="s">
        <v>368</v>
      </c>
      <c r="E103" s="137" t="s">
        <v>369</v>
      </c>
      <c r="F103" s="137" t="b">
        <v>0</v>
      </c>
      <c r="G103" s="137" t="b">
        <v>0</v>
      </c>
      <c r="H103" s="137"/>
    </row>
    <row r="104" ht="15.75" customHeight="1">
      <c r="A104" s="133"/>
      <c r="B104" s="128"/>
      <c r="C104" s="134" t="str">
        <f>if(A104="", "", vlookup(A104+0.01, 'SEO Implementation Checklist'!$B:$E, counta('SEO Implementation Checklist'!$B$2:$E$2), true))</f>
        <v/>
      </c>
      <c r="D104" s="135" t="s">
        <v>368</v>
      </c>
      <c r="E104" s="137" t="s">
        <v>369</v>
      </c>
      <c r="F104" s="137" t="b">
        <v>0</v>
      </c>
      <c r="G104" s="137" t="b">
        <v>0</v>
      </c>
      <c r="H104" s="137"/>
    </row>
    <row r="105" ht="15.75" customHeight="1">
      <c r="A105" s="133"/>
      <c r="B105" s="128"/>
      <c r="C105" s="134" t="str">
        <f>if(A105="", "", vlookup(A105+0.01, 'SEO Implementation Checklist'!$B:$E, counta('SEO Implementation Checklist'!$B$2:$E$2), true))</f>
        <v/>
      </c>
      <c r="D105" s="135" t="s">
        <v>368</v>
      </c>
      <c r="E105" s="137" t="s">
        <v>369</v>
      </c>
      <c r="F105" s="137" t="b">
        <v>0</v>
      </c>
      <c r="G105" s="137" t="b">
        <v>0</v>
      </c>
      <c r="H105" s="137"/>
    </row>
    <row r="106" ht="15.75" customHeight="1">
      <c r="A106" s="133"/>
      <c r="B106" s="128"/>
      <c r="C106" s="134" t="str">
        <f>if(A106="", "", vlookup(A106+0.01, 'SEO Implementation Checklist'!$B:$E, counta('SEO Implementation Checklist'!$B$2:$E$2), true))</f>
        <v/>
      </c>
      <c r="D106" s="135" t="s">
        <v>368</v>
      </c>
      <c r="E106" s="137" t="s">
        <v>369</v>
      </c>
      <c r="F106" s="137" t="b">
        <v>0</v>
      </c>
      <c r="G106" s="137" t="b">
        <v>0</v>
      </c>
      <c r="H106" s="137"/>
    </row>
    <row r="107" ht="15.75" customHeight="1">
      <c r="A107" s="133"/>
      <c r="B107" s="128"/>
      <c r="C107" s="134" t="str">
        <f>if(A107="", "", vlookup(A107+0.01, 'SEO Implementation Checklist'!$B:$E, counta('SEO Implementation Checklist'!$B$2:$E$2), true))</f>
        <v/>
      </c>
      <c r="D107" s="135" t="s">
        <v>368</v>
      </c>
      <c r="E107" s="137" t="s">
        <v>369</v>
      </c>
      <c r="F107" s="137" t="b">
        <v>0</v>
      </c>
      <c r="G107" s="137" t="b">
        <v>0</v>
      </c>
      <c r="H107" s="137"/>
    </row>
    <row r="108" ht="15.75" customHeight="1">
      <c r="A108" s="133"/>
      <c r="B108" s="128"/>
      <c r="C108" s="134" t="str">
        <f>if(A108="", "", vlookup(A108+0.01, 'SEO Implementation Checklist'!$B:$E, counta('SEO Implementation Checklist'!$B$2:$E$2), true))</f>
        <v/>
      </c>
      <c r="D108" s="135" t="s">
        <v>368</v>
      </c>
      <c r="E108" s="137" t="s">
        <v>369</v>
      </c>
      <c r="F108" s="137" t="b">
        <v>0</v>
      </c>
      <c r="G108" s="137" t="b">
        <v>0</v>
      </c>
      <c r="H108" s="137"/>
    </row>
    <row r="109" ht="15.75" customHeight="1">
      <c r="A109" s="133"/>
      <c r="B109" s="128"/>
      <c r="C109" s="134" t="str">
        <f>if(A109="", "", vlookup(A109+0.01, 'SEO Implementation Checklist'!$B:$E, counta('SEO Implementation Checklist'!$B$2:$E$2), true))</f>
        <v/>
      </c>
      <c r="D109" s="135" t="s">
        <v>368</v>
      </c>
      <c r="E109" s="137" t="s">
        <v>369</v>
      </c>
      <c r="F109" s="137" t="b">
        <v>0</v>
      </c>
      <c r="G109" s="137" t="b">
        <v>0</v>
      </c>
      <c r="H109" s="137"/>
    </row>
    <row r="110" ht="15.75" customHeight="1">
      <c r="A110" s="133"/>
      <c r="B110" s="128"/>
      <c r="C110" s="134" t="str">
        <f>if(A110="", "", vlookup(A110+0.01, 'SEO Implementation Checklist'!$B:$E, counta('SEO Implementation Checklist'!$B$2:$E$2), true))</f>
        <v/>
      </c>
      <c r="D110" s="135" t="s">
        <v>368</v>
      </c>
      <c r="E110" s="137" t="s">
        <v>369</v>
      </c>
      <c r="F110" s="137" t="b">
        <v>0</v>
      </c>
      <c r="G110" s="137" t="b">
        <v>0</v>
      </c>
      <c r="H110" s="137"/>
    </row>
    <row r="111" ht="15.75" customHeight="1">
      <c r="A111" s="133"/>
      <c r="B111" s="128"/>
      <c r="C111" s="134" t="str">
        <f>if(A111="", "", vlookup(A111+0.01, 'SEO Implementation Checklist'!$B:$E, counta('SEO Implementation Checklist'!$B$2:$E$2), true))</f>
        <v/>
      </c>
      <c r="D111" s="135" t="s">
        <v>368</v>
      </c>
      <c r="E111" s="137" t="s">
        <v>369</v>
      </c>
      <c r="F111" s="137" t="b">
        <v>0</v>
      </c>
      <c r="G111" s="137" t="b">
        <v>0</v>
      </c>
      <c r="H111" s="137"/>
    </row>
    <row r="112" ht="15.75" customHeight="1">
      <c r="A112" s="133"/>
      <c r="B112" s="128"/>
      <c r="C112" s="134" t="str">
        <f>if(A112="", "", vlookup(A112+0.01, 'SEO Implementation Checklist'!$B:$E, counta('SEO Implementation Checklist'!$B$2:$E$2), true))</f>
        <v/>
      </c>
      <c r="D112" s="135" t="s">
        <v>368</v>
      </c>
      <c r="E112" s="137" t="s">
        <v>369</v>
      </c>
      <c r="F112" s="137" t="b">
        <v>0</v>
      </c>
      <c r="G112" s="137" t="b">
        <v>0</v>
      </c>
      <c r="H112" s="137"/>
    </row>
    <row r="113" ht="15.75" customHeight="1">
      <c r="A113" s="133"/>
      <c r="B113" s="128"/>
      <c r="C113" s="134" t="str">
        <f>if(A113="", "", vlookup(A113+0.01, 'SEO Implementation Checklist'!$B:$E, counta('SEO Implementation Checklist'!$B$2:$E$2), true))</f>
        <v/>
      </c>
      <c r="D113" s="135" t="s">
        <v>368</v>
      </c>
      <c r="E113" s="137" t="s">
        <v>369</v>
      </c>
      <c r="F113" s="137" t="b">
        <v>0</v>
      </c>
      <c r="G113" s="137" t="b">
        <v>0</v>
      </c>
      <c r="H113" s="137"/>
    </row>
    <row r="114" ht="15.75" customHeight="1">
      <c r="A114" s="133"/>
      <c r="B114" s="128"/>
      <c r="C114" s="134" t="str">
        <f>if(A114="", "", vlookup(A114+0.01, 'SEO Implementation Checklist'!$B:$E, counta('SEO Implementation Checklist'!$B$2:$E$2), true))</f>
        <v/>
      </c>
      <c r="D114" s="135" t="s">
        <v>368</v>
      </c>
      <c r="E114" s="137" t="s">
        <v>369</v>
      </c>
      <c r="F114" s="137" t="b">
        <v>0</v>
      </c>
      <c r="G114" s="137" t="b">
        <v>0</v>
      </c>
      <c r="H114" s="137"/>
    </row>
    <row r="115" ht="15.75" customHeight="1">
      <c r="A115" s="133"/>
      <c r="B115" s="128"/>
      <c r="C115" s="134" t="str">
        <f>if(A115="", "", vlookup(A115+0.01, 'SEO Implementation Checklist'!$B:$E, counta('SEO Implementation Checklist'!$B$2:$E$2), true))</f>
        <v/>
      </c>
      <c r="D115" s="135" t="s">
        <v>368</v>
      </c>
      <c r="E115" s="137" t="s">
        <v>369</v>
      </c>
      <c r="F115" s="137" t="b">
        <v>0</v>
      </c>
      <c r="G115" s="137" t="b">
        <v>0</v>
      </c>
      <c r="H115" s="137"/>
    </row>
    <row r="116" ht="15.75" customHeight="1">
      <c r="A116" s="133"/>
      <c r="B116" s="128"/>
      <c r="C116" s="134" t="str">
        <f>if(A116="", "", vlookup(A116+0.01, 'SEO Implementation Checklist'!$B:$E, counta('SEO Implementation Checklist'!$B$2:$E$2), true))</f>
        <v/>
      </c>
      <c r="D116" s="135" t="s">
        <v>368</v>
      </c>
      <c r="E116" s="137" t="s">
        <v>369</v>
      </c>
      <c r="F116" s="137" t="b">
        <v>0</v>
      </c>
      <c r="G116" s="137" t="b">
        <v>0</v>
      </c>
      <c r="H116" s="137"/>
    </row>
    <row r="117" ht="15.75" customHeight="1">
      <c r="A117" s="133"/>
      <c r="B117" s="128"/>
      <c r="C117" s="134" t="str">
        <f>if(A117="", "", vlookup(A117+0.01, 'SEO Implementation Checklist'!$B:$E, counta('SEO Implementation Checklist'!$B$2:$E$2), true))</f>
        <v/>
      </c>
      <c r="D117" s="135" t="s">
        <v>368</v>
      </c>
      <c r="E117" s="137" t="s">
        <v>369</v>
      </c>
      <c r="F117" s="137" t="b">
        <v>0</v>
      </c>
      <c r="G117" s="137" t="b">
        <v>0</v>
      </c>
      <c r="H117" s="137"/>
    </row>
    <row r="118" ht="15.75" customHeight="1">
      <c r="A118" s="133"/>
      <c r="B118" s="128"/>
      <c r="C118" s="134" t="str">
        <f>if(A118="", "", vlookup(A118+0.01, 'SEO Implementation Checklist'!$B:$E, counta('SEO Implementation Checklist'!$B$2:$E$2), true))</f>
        <v/>
      </c>
      <c r="D118" s="135" t="s">
        <v>368</v>
      </c>
      <c r="E118" s="137" t="s">
        <v>369</v>
      </c>
      <c r="F118" s="137" t="b">
        <v>0</v>
      </c>
      <c r="G118" s="137" t="b">
        <v>0</v>
      </c>
      <c r="H118" s="137"/>
    </row>
    <row r="119" ht="15.75" customHeight="1">
      <c r="A119" s="133"/>
      <c r="B119" s="128"/>
      <c r="C119" s="134" t="str">
        <f>if(A119="", "", vlookup(A119+0.01, 'SEO Implementation Checklist'!$B:$E, counta('SEO Implementation Checklist'!$B$2:$E$2), true))</f>
        <v/>
      </c>
      <c r="D119" s="135" t="s">
        <v>368</v>
      </c>
      <c r="E119" s="137" t="s">
        <v>369</v>
      </c>
      <c r="F119" s="137" t="b">
        <v>0</v>
      </c>
      <c r="G119" s="137" t="b">
        <v>0</v>
      </c>
      <c r="H119" s="137"/>
    </row>
    <row r="120" ht="15.75" customHeight="1">
      <c r="A120" s="133"/>
      <c r="B120" s="128"/>
      <c r="C120" s="134" t="str">
        <f>if(A120="", "", vlookup(A120+0.01, 'SEO Implementation Checklist'!$B:$E, counta('SEO Implementation Checklist'!$B$2:$E$2), true))</f>
        <v/>
      </c>
      <c r="D120" s="135" t="s">
        <v>368</v>
      </c>
      <c r="E120" s="137" t="s">
        <v>369</v>
      </c>
      <c r="F120" s="137" t="b">
        <v>0</v>
      </c>
      <c r="G120" s="137" t="b">
        <v>0</v>
      </c>
      <c r="H120" s="137"/>
    </row>
    <row r="121" ht="15.75" customHeight="1">
      <c r="A121" s="133"/>
      <c r="B121" s="128"/>
      <c r="C121" s="134" t="str">
        <f>if(A121="", "", vlookup(A121+0.01, 'SEO Implementation Checklist'!$B:$E, counta('SEO Implementation Checklist'!$B$2:$E$2), true))</f>
        <v/>
      </c>
      <c r="D121" s="135" t="s">
        <v>368</v>
      </c>
      <c r="E121" s="137" t="s">
        <v>369</v>
      </c>
      <c r="F121" s="137" t="b">
        <v>0</v>
      </c>
      <c r="G121" s="137" t="b">
        <v>0</v>
      </c>
      <c r="H121" s="137"/>
    </row>
    <row r="122" ht="15.75" customHeight="1">
      <c r="A122" s="133"/>
      <c r="B122" s="128"/>
      <c r="C122" s="134" t="str">
        <f>if(A122="", "", vlookup(A122+0.01, 'SEO Implementation Checklist'!$B:$E, counta('SEO Implementation Checklist'!$B$2:$E$2), true))</f>
        <v/>
      </c>
      <c r="D122" s="135" t="s">
        <v>368</v>
      </c>
      <c r="E122" s="137" t="s">
        <v>369</v>
      </c>
      <c r="F122" s="137" t="b">
        <v>0</v>
      </c>
      <c r="G122" s="137" t="b">
        <v>0</v>
      </c>
      <c r="H122" s="137"/>
    </row>
    <row r="123" ht="15.75" customHeight="1">
      <c r="A123" s="133"/>
      <c r="B123" s="128"/>
      <c r="C123" s="134" t="str">
        <f>if(A123="", "", vlookup(A123+0.01, 'SEO Implementation Checklist'!$B:$E, counta('SEO Implementation Checklist'!$B$2:$E$2), true))</f>
        <v/>
      </c>
      <c r="D123" s="135" t="s">
        <v>368</v>
      </c>
      <c r="E123" s="137" t="s">
        <v>369</v>
      </c>
      <c r="F123" s="137" t="b">
        <v>0</v>
      </c>
      <c r="G123" s="137" t="b">
        <v>0</v>
      </c>
      <c r="H123" s="137"/>
    </row>
    <row r="124" ht="15.75" customHeight="1">
      <c r="A124" s="133"/>
      <c r="B124" s="128"/>
      <c r="C124" s="134" t="str">
        <f>if(A124="", "", vlookup(A124+0.01, 'SEO Implementation Checklist'!$B:$E, counta('SEO Implementation Checklist'!$B$2:$E$2), true))</f>
        <v/>
      </c>
      <c r="D124" s="135" t="s">
        <v>368</v>
      </c>
      <c r="E124" s="137" t="s">
        <v>369</v>
      </c>
      <c r="F124" s="137" t="b">
        <v>0</v>
      </c>
      <c r="G124" s="137" t="b">
        <v>0</v>
      </c>
      <c r="H124" s="137"/>
    </row>
    <row r="125" ht="15.75" customHeight="1">
      <c r="A125" s="133"/>
      <c r="B125" s="128"/>
      <c r="C125" s="134" t="str">
        <f>if(A125="", "", vlookup(A125+0.01, 'SEO Implementation Checklist'!$B:$E, counta('SEO Implementation Checklist'!$B$2:$E$2), true))</f>
        <v/>
      </c>
      <c r="D125" s="135" t="s">
        <v>368</v>
      </c>
      <c r="E125" s="137" t="s">
        <v>369</v>
      </c>
      <c r="F125" s="137" t="b">
        <v>0</v>
      </c>
      <c r="G125" s="137" t="b">
        <v>0</v>
      </c>
      <c r="H125" s="137"/>
    </row>
    <row r="126" ht="15.75" customHeight="1">
      <c r="A126" s="133"/>
      <c r="B126" s="128"/>
      <c r="C126" s="134" t="str">
        <f>if(A126="", "", vlookup(A126+0.01, 'SEO Implementation Checklist'!$B:$E, counta('SEO Implementation Checklist'!$B$2:$E$2), true))</f>
        <v/>
      </c>
      <c r="D126" s="135" t="s">
        <v>368</v>
      </c>
      <c r="E126" s="137" t="s">
        <v>369</v>
      </c>
      <c r="F126" s="137" t="b">
        <v>0</v>
      </c>
      <c r="G126" s="137" t="b">
        <v>0</v>
      </c>
      <c r="H126" s="137"/>
    </row>
    <row r="127" ht="15.75" customHeight="1">
      <c r="A127" s="133"/>
      <c r="B127" s="128"/>
      <c r="C127" s="134" t="str">
        <f>if(A127="", "", vlookup(A127+0.01, 'SEO Implementation Checklist'!$B:$E, counta('SEO Implementation Checklist'!$B$2:$E$2), true))</f>
        <v/>
      </c>
      <c r="D127" s="135" t="s">
        <v>368</v>
      </c>
      <c r="E127" s="137" t="s">
        <v>369</v>
      </c>
      <c r="F127" s="137" t="b">
        <v>0</v>
      </c>
      <c r="G127" s="137" t="b">
        <v>0</v>
      </c>
      <c r="H127" s="137"/>
    </row>
    <row r="128" ht="15.75" customHeight="1">
      <c r="A128" s="133"/>
      <c r="B128" s="128"/>
      <c r="C128" s="134" t="str">
        <f>if(A128="", "", vlookup(A128+0.01, 'SEO Implementation Checklist'!$B:$E, counta('SEO Implementation Checklist'!$B$2:$E$2), true))</f>
        <v/>
      </c>
      <c r="D128" s="135" t="s">
        <v>368</v>
      </c>
      <c r="E128" s="137" t="s">
        <v>369</v>
      </c>
      <c r="F128" s="137" t="b">
        <v>0</v>
      </c>
      <c r="G128" s="137" t="b">
        <v>0</v>
      </c>
      <c r="H128" s="137"/>
    </row>
    <row r="129" ht="15.75" customHeight="1">
      <c r="A129" s="133"/>
      <c r="B129" s="128"/>
      <c r="C129" s="134" t="str">
        <f>if(A129="", "", vlookup(A129+0.01, 'SEO Implementation Checklist'!$B:$E, counta('SEO Implementation Checklist'!$B$2:$E$2), true))</f>
        <v/>
      </c>
      <c r="D129" s="135" t="s">
        <v>368</v>
      </c>
      <c r="E129" s="137" t="s">
        <v>369</v>
      </c>
      <c r="F129" s="137" t="b">
        <v>0</v>
      </c>
      <c r="G129" s="137" t="b">
        <v>0</v>
      </c>
      <c r="H129" s="137"/>
    </row>
    <row r="130" ht="15.75" customHeight="1">
      <c r="A130" s="133"/>
      <c r="B130" s="128"/>
      <c r="C130" s="134" t="str">
        <f>if(A130="", "", vlookup(A130+0.01, 'SEO Implementation Checklist'!$B:$E, counta('SEO Implementation Checklist'!$B$2:$E$2), true))</f>
        <v/>
      </c>
      <c r="D130" s="135" t="s">
        <v>368</v>
      </c>
      <c r="E130" s="137" t="s">
        <v>369</v>
      </c>
      <c r="F130" s="137" t="b">
        <v>0</v>
      </c>
      <c r="G130" s="137" t="b">
        <v>0</v>
      </c>
      <c r="H130" s="137"/>
    </row>
    <row r="131" ht="15.75" customHeight="1">
      <c r="A131" s="133"/>
      <c r="B131" s="128"/>
      <c r="C131" s="134" t="str">
        <f>if(A131="", "", vlookup(A131+0.01, 'SEO Implementation Checklist'!$B:$E, counta('SEO Implementation Checklist'!$B$2:$E$2), true))</f>
        <v/>
      </c>
      <c r="D131" s="135" t="s">
        <v>368</v>
      </c>
      <c r="E131" s="137" t="s">
        <v>369</v>
      </c>
      <c r="F131" s="137" t="b">
        <v>0</v>
      </c>
      <c r="G131" s="137" t="b">
        <v>0</v>
      </c>
      <c r="H131" s="137"/>
    </row>
    <row r="132" ht="15.75" customHeight="1">
      <c r="A132" s="133"/>
      <c r="B132" s="128"/>
      <c r="C132" s="134" t="str">
        <f>if(A132="", "", vlookup(A132+0.01, 'SEO Implementation Checklist'!$B:$E, counta('SEO Implementation Checklist'!$B$2:$E$2), true))</f>
        <v/>
      </c>
      <c r="D132" s="135" t="s">
        <v>368</v>
      </c>
      <c r="E132" s="137" t="s">
        <v>369</v>
      </c>
      <c r="F132" s="137" t="b">
        <v>0</v>
      </c>
      <c r="G132" s="137" t="b">
        <v>0</v>
      </c>
      <c r="H132" s="137"/>
    </row>
    <row r="133" ht="15.75" customHeight="1">
      <c r="A133" s="133"/>
      <c r="B133" s="128"/>
      <c r="C133" s="134" t="str">
        <f>if(A133="", "", vlookup(A133+0.01, 'SEO Implementation Checklist'!$B:$E, counta('SEO Implementation Checklist'!$B$2:$E$2), true))</f>
        <v/>
      </c>
      <c r="D133" s="135" t="s">
        <v>368</v>
      </c>
      <c r="E133" s="137" t="s">
        <v>369</v>
      </c>
      <c r="F133" s="137" t="b">
        <v>0</v>
      </c>
      <c r="G133" s="137" t="b">
        <v>0</v>
      </c>
      <c r="H133" s="137"/>
    </row>
    <row r="134" ht="15.75" customHeight="1">
      <c r="A134" s="133"/>
      <c r="B134" s="128"/>
      <c r="C134" s="134" t="str">
        <f>if(A134="", "", vlookup(A134+0.01, 'SEO Implementation Checklist'!$B:$E, counta('SEO Implementation Checklist'!$B$2:$E$2), true))</f>
        <v/>
      </c>
      <c r="D134" s="135" t="s">
        <v>368</v>
      </c>
      <c r="E134" s="137" t="s">
        <v>369</v>
      </c>
      <c r="F134" s="137" t="b">
        <v>0</v>
      </c>
      <c r="G134" s="137" t="b">
        <v>0</v>
      </c>
      <c r="H134" s="137"/>
    </row>
    <row r="135" ht="15.75" customHeight="1">
      <c r="A135" s="133"/>
      <c r="B135" s="128"/>
      <c r="C135" s="134" t="str">
        <f>if(A135="", "", vlookup(A135+0.01, 'SEO Implementation Checklist'!$B:$E, counta('SEO Implementation Checklist'!$B$2:$E$2), true))</f>
        <v/>
      </c>
      <c r="D135" s="135" t="s">
        <v>368</v>
      </c>
      <c r="E135" s="137" t="s">
        <v>369</v>
      </c>
      <c r="F135" s="137" t="b">
        <v>0</v>
      </c>
      <c r="G135" s="137" t="b">
        <v>0</v>
      </c>
      <c r="H135" s="137"/>
    </row>
    <row r="136" ht="15.75" customHeight="1">
      <c r="A136" s="133"/>
      <c r="B136" s="128"/>
      <c r="C136" s="134" t="str">
        <f>if(A136="", "", vlookup(A136+0.01, 'SEO Implementation Checklist'!$B:$E, counta('SEO Implementation Checklist'!$B$2:$E$2), true))</f>
        <v/>
      </c>
      <c r="D136" s="135" t="s">
        <v>368</v>
      </c>
      <c r="E136" s="137" t="s">
        <v>369</v>
      </c>
      <c r="F136" s="137" t="b">
        <v>0</v>
      </c>
      <c r="G136" s="137" t="b">
        <v>0</v>
      </c>
      <c r="H136" s="137"/>
    </row>
    <row r="137" ht="15.75" customHeight="1">
      <c r="A137" s="133"/>
      <c r="B137" s="128"/>
      <c r="C137" s="134" t="str">
        <f>if(A137="", "", vlookup(A137+0.01, 'SEO Implementation Checklist'!$B:$E, counta('SEO Implementation Checklist'!$B$2:$E$2), true))</f>
        <v/>
      </c>
      <c r="D137" s="135" t="s">
        <v>368</v>
      </c>
      <c r="E137" s="137" t="s">
        <v>369</v>
      </c>
      <c r="F137" s="137" t="b">
        <v>0</v>
      </c>
      <c r="G137" s="137" t="b">
        <v>0</v>
      </c>
      <c r="H137" s="137"/>
    </row>
    <row r="138" ht="15.75" customHeight="1">
      <c r="A138" s="133"/>
      <c r="B138" s="128"/>
      <c r="C138" s="134" t="str">
        <f>if(A138="", "", vlookup(A138+0.01, 'SEO Implementation Checklist'!$B:$E, counta('SEO Implementation Checklist'!$B$2:$E$2), true))</f>
        <v/>
      </c>
      <c r="D138" s="135" t="s">
        <v>368</v>
      </c>
      <c r="E138" s="137" t="s">
        <v>369</v>
      </c>
      <c r="F138" s="137" t="b">
        <v>0</v>
      </c>
      <c r="G138" s="137" t="b">
        <v>0</v>
      </c>
      <c r="H138" s="137"/>
    </row>
    <row r="139" ht="15.75" customHeight="1">
      <c r="A139" s="133"/>
      <c r="B139" s="128"/>
      <c r="C139" s="134" t="str">
        <f>if(A139="", "", vlookup(A139+0.01, 'SEO Implementation Checklist'!$B:$E, counta('SEO Implementation Checklist'!$B$2:$E$2), true))</f>
        <v/>
      </c>
      <c r="D139" s="135" t="s">
        <v>368</v>
      </c>
      <c r="E139" s="137" t="s">
        <v>369</v>
      </c>
      <c r="F139" s="137" t="b">
        <v>0</v>
      </c>
      <c r="G139" s="137" t="b">
        <v>0</v>
      </c>
      <c r="H139" s="137"/>
    </row>
    <row r="140" ht="15.75" customHeight="1">
      <c r="A140" s="133"/>
      <c r="B140" s="128"/>
      <c r="C140" s="134" t="str">
        <f>if(A140="", "", vlookup(A140+0.01, 'SEO Implementation Checklist'!$B:$E, counta('SEO Implementation Checklist'!$B$2:$E$2), true))</f>
        <v/>
      </c>
      <c r="D140" s="135" t="s">
        <v>368</v>
      </c>
      <c r="E140" s="137" t="s">
        <v>369</v>
      </c>
      <c r="F140" s="137" t="b">
        <v>0</v>
      </c>
      <c r="G140" s="137" t="b">
        <v>0</v>
      </c>
      <c r="H140" s="137"/>
    </row>
    <row r="141" ht="15.75" customHeight="1">
      <c r="A141" s="133"/>
      <c r="B141" s="128"/>
      <c r="C141" s="134" t="str">
        <f>if(A141="", "", vlookup(A141+0.01, 'SEO Implementation Checklist'!$B:$E, counta('SEO Implementation Checklist'!$B$2:$E$2), true))</f>
        <v/>
      </c>
      <c r="D141" s="135" t="s">
        <v>368</v>
      </c>
      <c r="E141" s="137" t="s">
        <v>369</v>
      </c>
      <c r="F141" s="137" t="b">
        <v>0</v>
      </c>
      <c r="G141" s="137" t="b">
        <v>0</v>
      </c>
      <c r="H141" s="137"/>
    </row>
    <row r="142" ht="15.75" customHeight="1">
      <c r="A142" s="133"/>
      <c r="B142" s="128"/>
      <c r="C142" s="134" t="str">
        <f>if(A142="", "", vlookup(A142+0.01, 'SEO Implementation Checklist'!$B:$E, counta('SEO Implementation Checklist'!$B$2:$E$2), true))</f>
        <v/>
      </c>
      <c r="D142" s="135" t="s">
        <v>368</v>
      </c>
      <c r="E142" s="137" t="s">
        <v>369</v>
      </c>
      <c r="F142" s="137" t="b">
        <v>0</v>
      </c>
      <c r="G142" s="137" t="b">
        <v>0</v>
      </c>
      <c r="H142" s="137"/>
    </row>
    <row r="143" ht="15.75" customHeight="1">
      <c r="A143" s="133"/>
      <c r="B143" s="128"/>
      <c r="C143" s="134" t="str">
        <f>if(A143="", "", vlookup(A143+0.01, 'SEO Implementation Checklist'!$B:$E, counta('SEO Implementation Checklist'!$B$2:$E$2), true))</f>
        <v/>
      </c>
      <c r="D143" s="135" t="s">
        <v>368</v>
      </c>
      <c r="E143" s="137" t="s">
        <v>369</v>
      </c>
      <c r="F143" s="138"/>
      <c r="G143" s="138"/>
      <c r="H143" s="138"/>
    </row>
    <row r="144" ht="15.75" customHeight="1">
      <c r="A144" s="133"/>
      <c r="B144" s="128"/>
      <c r="C144" s="134" t="str">
        <f>if(A144="", "", vlookup(A144+0.01, 'SEO Implementation Checklist'!$B:$E, counta('SEO Implementation Checklist'!$B$2:$E$2), true))</f>
        <v/>
      </c>
      <c r="D144" s="135" t="s">
        <v>368</v>
      </c>
      <c r="E144" s="137" t="s">
        <v>369</v>
      </c>
      <c r="F144" s="138"/>
      <c r="G144" s="138"/>
      <c r="H144" s="138"/>
    </row>
    <row r="145" ht="15.75" customHeight="1">
      <c r="A145" s="133"/>
      <c r="B145" s="128"/>
      <c r="C145" s="134" t="str">
        <f>if(A145="", "", vlookup(A145+0.01, 'SEO Implementation Checklist'!$B:$E, counta('SEO Implementation Checklist'!$B$2:$E$2), true))</f>
        <v/>
      </c>
      <c r="D145" s="135" t="s">
        <v>368</v>
      </c>
      <c r="E145" s="137" t="s">
        <v>369</v>
      </c>
      <c r="F145" s="138"/>
      <c r="G145" s="138"/>
      <c r="H145" s="138"/>
    </row>
    <row r="146" ht="15.75" customHeight="1">
      <c r="A146" s="133"/>
      <c r="B146" s="128"/>
      <c r="C146" s="134" t="str">
        <f>if(A146="", "", vlookup(A146+0.01, 'SEO Implementation Checklist'!$B:$E, counta('SEO Implementation Checklist'!$B$2:$E$2), true))</f>
        <v/>
      </c>
      <c r="D146" s="135" t="s">
        <v>368</v>
      </c>
      <c r="E146" s="137" t="s">
        <v>369</v>
      </c>
      <c r="F146" s="138"/>
      <c r="G146" s="138"/>
      <c r="H146" s="138"/>
    </row>
    <row r="147" ht="15.75" customHeight="1">
      <c r="A147" s="133"/>
      <c r="B147" s="128"/>
      <c r="C147" s="134" t="str">
        <f>if(A147="", "", vlookup(A147+0.01, 'SEO Implementation Checklist'!$B:$E, counta('SEO Implementation Checklist'!$B$2:$E$2), true))</f>
        <v/>
      </c>
      <c r="D147" s="135" t="s">
        <v>368</v>
      </c>
      <c r="E147" s="137" t="s">
        <v>369</v>
      </c>
      <c r="F147" s="138"/>
      <c r="G147" s="138"/>
      <c r="H147" s="138"/>
    </row>
    <row r="148" ht="15.75" customHeight="1">
      <c r="A148" s="133"/>
      <c r="B148" s="128"/>
      <c r="C148" s="134" t="str">
        <f>if(A148="", "", vlookup(A148+0.01, 'SEO Implementation Checklist'!$B:$E, counta('SEO Implementation Checklist'!$B$2:$E$2), true))</f>
        <v/>
      </c>
      <c r="D148" s="135" t="s">
        <v>368</v>
      </c>
      <c r="E148" s="137" t="s">
        <v>369</v>
      </c>
      <c r="F148" s="138"/>
      <c r="G148" s="138"/>
      <c r="H148" s="138"/>
    </row>
    <row r="149" ht="15.75" customHeight="1">
      <c r="A149" s="133"/>
      <c r="B149" s="128"/>
      <c r="C149" s="134" t="str">
        <f>if(A149="", "", vlookup(A149+0.01, 'SEO Implementation Checklist'!$B:$E, counta('SEO Implementation Checklist'!$B$2:$E$2), true))</f>
        <v/>
      </c>
      <c r="D149" s="135" t="s">
        <v>368</v>
      </c>
      <c r="E149" s="137" t="s">
        <v>369</v>
      </c>
      <c r="F149" s="138"/>
      <c r="G149" s="138"/>
      <c r="H149" s="138"/>
    </row>
    <row r="150" ht="15.75" customHeight="1">
      <c r="A150" s="133"/>
      <c r="B150" s="128"/>
      <c r="C150" s="134" t="str">
        <f>if(A150="", "", vlookup(A150+0.01, 'SEO Implementation Checklist'!$B:$E, counta('SEO Implementation Checklist'!$B$2:$E$2), true))</f>
        <v/>
      </c>
      <c r="D150" s="135" t="s">
        <v>368</v>
      </c>
      <c r="E150" s="137" t="s">
        <v>369</v>
      </c>
      <c r="F150" s="138"/>
      <c r="G150" s="138"/>
      <c r="H150" s="138"/>
    </row>
    <row r="151" ht="15.75" customHeight="1">
      <c r="A151" s="133"/>
      <c r="B151" s="128"/>
      <c r="C151" s="134" t="str">
        <f>if(A151="", "", vlookup(A151+0.01, 'SEO Implementation Checklist'!$B:$E, counta('SEO Implementation Checklist'!$B$2:$E$2), true))</f>
        <v/>
      </c>
      <c r="D151" s="135" t="s">
        <v>368</v>
      </c>
      <c r="E151" s="137" t="s">
        <v>369</v>
      </c>
      <c r="F151" s="138"/>
      <c r="G151" s="138"/>
      <c r="H151" s="138"/>
    </row>
    <row r="152" ht="15.75" customHeight="1">
      <c r="A152" s="133"/>
      <c r="B152" s="128"/>
      <c r="C152" s="134" t="str">
        <f>if(A152="", "", vlookup(A152+0.01, 'SEO Implementation Checklist'!$B:$E, counta('SEO Implementation Checklist'!$B$2:$E$2), true))</f>
        <v/>
      </c>
      <c r="D152" s="135" t="s">
        <v>368</v>
      </c>
      <c r="E152" s="137" t="s">
        <v>369</v>
      </c>
      <c r="F152" s="138"/>
      <c r="G152" s="138"/>
      <c r="H152" s="138"/>
    </row>
    <row r="153" ht="15.75" customHeight="1">
      <c r="A153" s="133"/>
      <c r="B153" s="128"/>
      <c r="C153" s="134" t="str">
        <f>if(A153="", "", vlookup(A153+0.01, 'SEO Implementation Checklist'!$B:$E, counta('SEO Implementation Checklist'!$B$2:$E$2), true))</f>
        <v/>
      </c>
      <c r="D153" s="135" t="s">
        <v>368</v>
      </c>
      <c r="E153" s="137" t="s">
        <v>369</v>
      </c>
      <c r="F153" s="138"/>
      <c r="G153" s="138"/>
      <c r="H153" s="138"/>
    </row>
    <row r="154" ht="15.75" customHeight="1">
      <c r="A154" s="133"/>
      <c r="B154" s="128"/>
      <c r="C154" s="134" t="str">
        <f>if(A154="", "", vlookup(A154+0.01, 'SEO Implementation Checklist'!$B:$E, counta('SEO Implementation Checklist'!$B$2:$E$2), true))</f>
        <v/>
      </c>
      <c r="D154" s="135" t="s">
        <v>368</v>
      </c>
      <c r="E154" s="137" t="s">
        <v>369</v>
      </c>
      <c r="F154" s="138"/>
      <c r="G154" s="138"/>
      <c r="H154" s="138"/>
    </row>
    <row r="155" ht="15.75" customHeight="1">
      <c r="A155" s="133"/>
      <c r="B155" s="128"/>
      <c r="C155" s="134" t="str">
        <f>if(A155="", "", vlookup(A155+0.01, 'SEO Implementation Checklist'!$B:$E, counta('SEO Implementation Checklist'!$B$2:$E$2), true))</f>
        <v/>
      </c>
      <c r="D155" s="135" t="s">
        <v>368</v>
      </c>
      <c r="E155" s="137" t="s">
        <v>369</v>
      </c>
      <c r="F155" s="138"/>
      <c r="G155" s="138"/>
      <c r="H155" s="138"/>
    </row>
    <row r="156" ht="15.75" customHeight="1">
      <c r="A156" s="133"/>
      <c r="B156" s="128"/>
      <c r="C156" s="134" t="str">
        <f>if(A156="", "", vlookup(A156+0.01, 'SEO Implementation Checklist'!$B:$E, counta('SEO Implementation Checklist'!$B$2:$E$2), true))</f>
        <v/>
      </c>
      <c r="D156" s="135" t="s">
        <v>368</v>
      </c>
      <c r="E156" s="137" t="s">
        <v>369</v>
      </c>
      <c r="F156" s="138"/>
      <c r="G156" s="138"/>
      <c r="H156" s="138"/>
    </row>
    <row r="157" ht="15.75" customHeight="1">
      <c r="A157" s="133"/>
      <c r="B157" s="128"/>
      <c r="C157" s="134" t="str">
        <f>if(A157="", "", vlookup(A157+0.01, 'SEO Implementation Checklist'!$B:$E, counta('SEO Implementation Checklist'!$B$2:$E$2), true))</f>
        <v/>
      </c>
      <c r="D157" s="135" t="s">
        <v>368</v>
      </c>
      <c r="E157" s="137" t="s">
        <v>369</v>
      </c>
      <c r="F157" s="138"/>
      <c r="G157" s="138"/>
      <c r="H157" s="138"/>
    </row>
    <row r="158" ht="15.75" customHeight="1">
      <c r="A158" s="133"/>
      <c r="B158" s="128"/>
      <c r="C158" s="134" t="str">
        <f>if(A158="", "", vlookup(A158+0.01, 'SEO Implementation Checklist'!$B:$E, counta('SEO Implementation Checklist'!$B$2:$E$2), true))</f>
        <v/>
      </c>
      <c r="D158" s="135" t="s">
        <v>368</v>
      </c>
      <c r="E158" s="137" t="s">
        <v>369</v>
      </c>
      <c r="F158" s="138"/>
      <c r="G158" s="138"/>
      <c r="H158" s="138"/>
    </row>
    <row r="159" ht="15.75" customHeight="1">
      <c r="A159" s="133"/>
      <c r="B159" s="128"/>
      <c r="C159" s="134" t="str">
        <f>if(A159="", "", vlookup(A159+0.01, 'SEO Implementation Checklist'!$B:$E, counta('SEO Implementation Checklist'!$B$2:$E$2), true))</f>
        <v/>
      </c>
      <c r="D159" s="135" t="s">
        <v>368</v>
      </c>
      <c r="E159" s="137" t="s">
        <v>369</v>
      </c>
      <c r="F159" s="138"/>
      <c r="G159" s="138"/>
      <c r="H159" s="138"/>
    </row>
    <row r="160" ht="15.75" customHeight="1">
      <c r="A160" s="133"/>
      <c r="B160" s="128"/>
      <c r="C160" s="134" t="str">
        <f>if(A160="", "", vlookup(A160+0.01, 'SEO Implementation Checklist'!$B:$E, counta('SEO Implementation Checklist'!$B$2:$E$2), true))</f>
        <v/>
      </c>
      <c r="D160" s="135" t="s">
        <v>368</v>
      </c>
      <c r="E160" s="137" t="s">
        <v>369</v>
      </c>
      <c r="F160" s="138"/>
      <c r="G160" s="138"/>
      <c r="H160" s="138"/>
    </row>
    <row r="161" ht="15.75" customHeight="1">
      <c r="A161" s="133"/>
      <c r="B161" s="128"/>
      <c r="C161" s="134" t="str">
        <f>if(A161="", "", vlookup(A161+0.01, 'SEO Implementation Checklist'!$B:$E, counta('SEO Implementation Checklist'!$B$2:$E$2), true))</f>
        <v/>
      </c>
      <c r="D161" s="135" t="s">
        <v>368</v>
      </c>
      <c r="E161" s="137" t="s">
        <v>369</v>
      </c>
      <c r="F161" s="138"/>
      <c r="G161" s="138"/>
      <c r="H161" s="138"/>
    </row>
    <row r="162" ht="15.75" customHeight="1">
      <c r="A162" s="133"/>
      <c r="B162" s="128"/>
      <c r="C162" s="134" t="str">
        <f>if(A162="", "", vlookup(A162+0.01, 'SEO Implementation Checklist'!$B:$E, counta('SEO Implementation Checklist'!$B$2:$E$2), true))</f>
        <v/>
      </c>
      <c r="D162" s="135" t="s">
        <v>368</v>
      </c>
      <c r="E162" s="137" t="s">
        <v>369</v>
      </c>
      <c r="F162" s="138"/>
      <c r="G162" s="138"/>
      <c r="H162" s="138"/>
    </row>
    <row r="163" ht="15.75" customHeight="1">
      <c r="A163" s="133"/>
      <c r="B163" s="128"/>
      <c r="C163" s="134" t="str">
        <f>if(A163="", "", vlookup(A163+0.01, 'SEO Implementation Checklist'!$B:$E, counta('SEO Implementation Checklist'!$B$2:$E$2), true))</f>
        <v/>
      </c>
      <c r="D163" s="135" t="s">
        <v>368</v>
      </c>
      <c r="E163" s="137" t="s">
        <v>369</v>
      </c>
      <c r="F163" s="138"/>
      <c r="G163" s="138"/>
      <c r="H163" s="138"/>
    </row>
    <row r="164" ht="15.75" customHeight="1">
      <c r="A164" s="133"/>
      <c r="B164" s="128"/>
      <c r="C164" s="134" t="str">
        <f>if(A164="", "", vlookup(A164+0.01, 'SEO Implementation Checklist'!$B:$E, counta('SEO Implementation Checklist'!$B$2:$E$2), true))</f>
        <v/>
      </c>
      <c r="D164" s="135" t="s">
        <v>368</v>
      </c>
      <c r="E164" s="137" t="s">
        <v>369</v>
      </c>
      <c r="F164" s="138"/>
      <c r="G164" s="138"/>
      <c r="H164" s="138"/>
    </row>
    <row r="165" ht="15.75" customHeight="1">
      <c r="A165" s="133"/>
      <c r="B165" s="128"/>
      <c r="C165" s="134" t="str">
        <f>if(A165="", "", vlookup(A165+0.01, 'SEO Implementation Checklist'!$B:$E, counta('SEO Implementation Checklist'!$B$2:$E$2), true))</f>
        <v/>
      </c>
      <c r="D165" s="135" t="s">
        <v>368</v>
      </c>
      <c r="E165" s="137" t="s">
        <v>369</v>
      </c>
      <c r="F165" s="138"/>
      <c r="G165" s="138"/>
      <c r="H165" s="138"/>
    </row>
    <row r="166" ht="15.75" customHeight="1">
      <c r="A166" s="133"/>
      <c r="B166" s="128"/>
      <c r="C166" s="134" t="str">
        <f>if(A166="", "", vlookup(A166+0.01, 'SEO Implementation Checklist'!$B:$E, counta('SEO Implementation Checklist'!$B$2:$E$2), true))</f>
        <v/>
      </c>
      <c r="D166" s="135" t="s">
        <v>368</v>
      </c>
      <c r="E166" s="137" t="s">
        <v>369</v>
      </c>
      <c r="F166" s="138"/>
      <c r="G166" s="138"/>
      <c r="H166" s="138"/>
    </row>
    <row r="167" ht="15.75" customHeight="1">
      <c r="A167" s="133"/>
      <c r="B167" s="128"/>
      <c r="C167" s="134" t="str">
        <f>if(A167="", "", vlookup(A167+0.01, 'SEO Implementation Checklist'!$B:$E, counta('SEO Implementation Checklist'!$B$2:$E$2), true))</f>
        <v/>
      </c>
      <c r="D167" s="135" t="s">
        <v>368</v>
      </c>
      <c r="E167" s="137" t="s">
        <v>369</v>
      </c>
      <c r="F167" s="138"/>
      <c r="G167" s="138"/>
      <c r="H167" s="138"/>
    </row>
    <row r="168" ht="15.75" customHeight="1">
      <c r="A168" s="133"/>
      <c r="B168" s="128"/>
      <c r="C168" s="134" t="str">
        <f>if(A168="", "", vlookup(A168+0.01, 'SEO Implementation Checklist'!$B:$E, counta('SEO Implementation Checklist'!$B$2:$E$2), true))</f>
        <v/>
      </c>
      <c r="D168" s="135" t="s">
        <v>368</v>
      </c>
      <c r="E168" s="137" t="s">
        <v>369</v>
      </c>
      <c r="F168" s="138"/>
      <c r="G168" s="138"/>
      <c r="H168" s="138"/>
    </row>
    <row r="169" ht="15.75" customHeight="1">
      <c r="A169" s="133"/>
      <c r="B169" s="128"/>
      <c r="C169" s="134" t="str">
        <f>if(A169="", "", vlookup(A169+0.01, 'SEO Implementation Checklist'!$B:$E, counta('SEO Implementation Checklist'!$B$2:$E$2), true))</f>
        <v/>
      </c>
      <c r="D169" s="135" t="s">
        <v>368</v>
      </c>
      <c r="E169" s="137" t="s">
        <v>369</v>
      </c>
      <c r="F169" s="138"/>
      <c r="G169" s="138"/>
      <c r="H169" s="138"/>
    </row>
    <row r="170" ht="15.75" customHeight="1">
      <c r="A170" s="133"/>
      <c r="B170" s="128"/>
      <c r="C170" s="134" t="str">
        <f>if(A170="", "", vlookup(A170+0.01, 'SEO Implementation Checklist'!$B:$E, counta('SEO Implementation Checklist'!$B$2:$E$2), true))</f>
        <v/>
      </c>
      <c r="D170" s="135" t="s">
        <v>368</v>
      </c>
      <c r="E170" s="137" t="s">
        <v>369</v>
      </c>
      <c r="F170" s="138"/>
      <c r="G170" s="138"/>
      <c r="H170" s="138"/>
    </row>
    <row r="171" ht="15.75" customHeight="1">
      <c r="A171" s="133"/>
      <c r="B171" s="128"/>
      <c r="C171" s="134" t="str">
        <f>if(A171="", "", vlookup(A171+0.01, 'SEO Implementation Checklist'!$B:$E, counta('SEO Implementation Checklist'!$B$2:$E$2), true))</f>
        <v/>
      </c>
      <c r="D171" s="135" t="s">
        <v>368</v>
      </c>
      <c r="E171" s="137" t="s">
        <v>369</v>
      </c>
      <c r="F171" s="138"/>
      <c r="G171" s="138"/>
      <c r="H171" s="138"/>
    </row>
    <row r="172" ht="15.75" customHeight="1">
      <c r="A172" s="133"/>
      <c r="B172" s="128"/>
      <c r="C172" s="134" t="str">
        <f>if(A172="", "", vlookup(A172+0.01, 'SEO Implementation Checklist'!$B:$E, counta('SEO Implementation Checklist'!$B$2:$E$2), true))</f>
        <v/>
      </c>
      <c r="D172" s="135" t="s">
        <v>368</v>
      </c>
      <c r="E172" s="137" t="s">
        <v>369</v>
      </c>
      <c r="F172" s="138"/>
      <c r="G172" s="138"/>
      <c r="H172" s="138"/>
    </row>
    <row r="173" ht="15.75" customHeight="1">
      <c r="A173" s="133"/>
      <c r="B173" s="128"/>
      <c r="C173" s="134" t="str">
        <f>if(A173="", "", vlookup(A173+0.01, 'SEO Implementation Checklist'!$B:$E, counta('SEO Implementation Checklist'!$B$2:$E$2), true))</f>
        <v/>
      </c>
      <c r="D173" s="135" t="s">
        <v>368</v>
      </c>
      <c r="E173" s="137" t="s">
        <v>369</v>
      </c>
      <c r="F173" s="138"/>
      <c r="G173" s="138"/>
      <c r="H173" s="138"/>
    </row>
    <row r="174" ht="15.75" customHeight="1">
      <c r="A174" s="133"/>
      <c r="B174" s="128"/>
      <c r="C174" s="134" t="str">
        <f>if(A174="", "", vlookup(A174+0.01, 'SEO Implementation Checklist'!$B:$E, counta('SEO Implementation Checklist'!$B$2:$E$2), true))</f>
        <v/>
      </c>
      <c r="D174" s="135" t="s">
        <v>368</v>
      </c>
      <c r="E174" s="137" t="s">
        <v>369</v>
      </c>
      <c r="F174" s="138"/>
      <c r="G174" s="138"/>
      <c r="H174" s="138"/>
    </row>
    <row r="175" ht="15.75" customHeight="1">
      <c r="A175" s="133"/>
      <c r="B175" s="128"/>
      <c r="C175" s="134" t="str">
        <f>if(A175="", "", vlookup(A175+0.01, 'SEO Implementation Checklist'!$B:$E, counta('SEO Implementation Checklist'!$B$2:$E$2), true))</f>
        <v/>
      </c>
      <c r="D175" s="135" t="s">
        <v>368</v>
      </c>
      <c r="E175" s="137" t="s">
        <v>369</v>
      </c>
      <c r="F175" s="138"/>
      <c r="G175" s="138"/>
      <c r="H175" s="138"/>
    </row>
    <row r="176" ht="15.75" customHeight="1">
      <c r="A176" s="133"/>
      <c r="B176" s="128"/>
      <c r="C176" s="134" t="str">
        <f>if(A176="", "", vlookup(A176+0.01, 'SEO Implementation Checklist'!$B:$E, counta('SEO Implementation Checklist'!$B$2:$E$2), true))</f>
        <v/>
      </c>
      <c r="D176" s="135" t="s">
        <v>368</v>
      </c>
      <c r="E176" s="137" t="s">
        <v>369</v>
      </c>
      <c r="F176" s="138"/>
      <c r="G176" s="138"/>
      <c r="H176" s="138"/>
    </row>
    <row r="177" ht="15.75" customHeight="1">
      <c r="A177" s="133"/>
      <c r="B177" s="128"/>
      <c r="C177" s="134" t="str">
        <f>if(A177="", "", vlookup(A177+0.01, 'SEO Implementation Checklist'!$B:$E, counta('SEO Implementation Checklist'!$B$2:$E$2), true))</f>
        <v/>
      </c>
      <c r="D177" s="135" t="s">
        <v>368</v>
      </c>
      <c r="E177" s="137" t="s">
        <v>369</v>
      </c>
      <c r="F177" s="138"/>
      <c r="G177" s="138"/>
      <c r="H177" s="138"/>
    </row>
    <row r="178" ht="15.75" customHeight="1">
      <c r="A178" s="133"/>
      <c r="B178" s="128"/>
      <c r="C178" s="134" t="str">
        <f>if(A178="", "", vlookup(A178+0.01, 'SEO Implementation Checklist'!$B:$E, counta('SEO Implementation Checklist'!$B$2:$E$2), true))</f>
        <v/>
      </c>
      <c r="D178" s="135" t="s">
        <v>368</v>
      </c>
      <c r="E178" s="137" t="s">
        <v>369</v>
      </c>
      <c r="F178" s="138"/>
      <c r="G178" s="138"/>
      <c r="H178" s="138"/>
    </row>
    <row r="179" ht="15.75" customHeight="1">
      <c r="A179" s="133"/>
      <c r="B179" s="128"/>
      <c r="C179" s="134" t="str">
        <f>if(A179="", "", vlookup(A179+0.01, 'SEO Implementation Checklist'!$B:$E, counta('SEO Implementation Checklist'!$B$2:$E$2), true))</f>
        <v/>
      </c>
      <c r="D179" s="135" t="s">
        <v>368</v>
      </c>
      <c r="E179" s="137" t="s">
        <v>369</v>
      </c>
      <c r="F179" s="138"/>
      <c r="G179" s="138"/>
      <c r="H179" s="138"/>
    </row>
    <row r="180" ht="15.75" customHeight="1">
      <c r="A180" s="133"/>
      <c r="B180" s="128"/>
      <c r="C180" s="134" t="str">
        <f>if(A180="", "", vlookup(A180+0.01, 'SEO Implementation Checklist'!$B:$E, counta('SEO Implementation Checklist'!$B$2:$E$2), true))</f>
        <v/>
      </c>
      <c r="D180" s="135" t="s">
        <v>368</v>
      </c>
      <c r="E180" s="137" t="s">
        <v>369</v>
      </c>
      <c r="F180" s="138"/>
      <c r="G180" s="138"/>
      <c r="H180" s="138"/>
    </row>
    <row r="181" ht="15.75" customHeight="1">
      <c r="A181" s="133"/>
      <c r="B181" s="128"/>
      <c r="C181" s="134" t="str">
        <f>if(A181="", "", vlookup(A181+0.01, 'SEO Implementation Checklist'!$B:$E, counta('SEO Implementation Checklist'!$B$2:$E$2), true))</f>
        <v/>
      </c>
      <c r="D181" s="135" t="s">
        <v>368</v>
      </c>
      <c r="E181" s="137" t="s">
        <v>369</v>
      </c>
      <c r="F181" s="138"/>
      <c r="G181" s="138"/>
      <c r="H181" s="138"/>
    </row>
    <row r="182" ht="15.75" customHeight="1">
      <c r="A182" s="133"/>
      <c r="B182" s="128"/>
      <c r="C182" s="134" t="str">
        <f>if(A182="", "", vlookup(A182+0.01, 'SEO Implementation Checklist'!$B:$E, counta('SEO Implementation Checklist'!$B$2:$E$2), true))</f>
        <v/>
      </c>
      <c r="D182" s="135" t="s">
        <v>368</v>
      </c>
      <c r="E182" s="137" t="s">
        <v>369</v>
      </c>
      <c r="F182" s="138"/>
      <c r="G182" s="138"/>
      <c r="H182" s="138"/>
    </row>
    <row r="183" ht="15.75" customHeight="1">
      <c r="A183" s="133"/>
      <c r="B183" s="128"/>
      <c r="C183" s="134" t="str">
        <f>if(A183="", "", vlookup(A183+0.01, 'SEO Implementation Checklist'!$B:$E, counta('SEO Implementation Checklist'!$B$2:$E$2), true))</f>
        <v/>
      </c>
      <c r="D183" s="135" t="s">
        <v>368</v>
      </c>
      <c r="E183" s="137" t="s">
        <v>369</v>
      </c>
      <c r="F183" s="138"/>
      <c r="G183" s="138"/>
      <c r="H183" s="138"/>
    </row>
    <row r="184" ht="15.75" customHeight="1">
      <c r="A184" s="133"/>
      <c r="B184" s="128"/>
      <c r="C184" s="134" t="str">
        <f>if(A184="", "", vlookup(A184+0.01, 'SEO Implementation Checklist'!$B:$E, counta('SEO Implementation Checklist'!$B$2:$E$2), true))</f>
        <v/>
      </c>
      <c r="D184" s="135" t="s">
        <v>368</v>
      </c>
      <c r="E184" s="137" t="s">
        <v>369</v>
      </c>
      <c r="F184" s="138"/>
      <c r="G184" s="138"/>
      <c r="H184" s="138"/>
    </row>
    <row r="185" ht="15.75" customHeight="1">
      <c r="A185" s="133"/>
      <c r="B185" s="128"/>
      <c r="C185" s="134" t="str">
        <f>if(A185="", "", vlookup(A185+0.01, 'SEO Implementation Checklist'!$B:$E, counta('SEO Implementation Checklist'!$B$2:$E$2), true))</f>
        <v/>
      </c>
      <c r="D185" s="135" t="s">
        <v>368</v>
      </c>
      <c r="E185" s="137" t="s">
        <v>369</v>
      </c>
      <c r="F185" s="138"/>
      <c r="G185" s="138"/>
      <c r="H185" s="138"/>
    </row>
    <row r="186" ht="15.75" customHeight="1">
      <c r="A186" s="133"/>
      <c r="B186" s="128"/>
      <c r="C186" s="134" t="str">
        <f>if(A186="", "", vlookup(A186+0.01, 'SEO Implementation Checklist'!$B:$E, counta('SEO Implementation Checklist'!$B$2:$E$2), true))</f>
        <v/>
      </c>
      <c r="D186" s="135" t="s">
        <v>368</v>
      </c>
      <c r="E186" s="137" t="s">
        <v>369</v>
      </c>
      <c r="F186" s="138"/>
      <c r="G186" s="138"/>
      <c r="H186" s="138"/>
    </row>
    <row r="187" ht="15.75" customHeight="1">
      <c r="A187" s="133"/>
      <c r="B187" s="128"/>
      <c r="C187" s="134" t="str">
        <f>if(A187="", "", vlookup(A187+0.01, 'SEO Implementation Checklist'!$B:$E, counta('SEO Implementation Checklist'!$B$2:$E$2), true))</f>
        <v/>
      </c>
      <c r="D187" s="135" t="s">
        <v>368</v>
      </c>
      <c r="E187" s="137" t="s">
        <v>369</v>
      </c>
      <c r="F187" s="138"/>
      <c r="G187" s="138"/>
      <c r="H187" s="138"/>
    </row>
    <row r="188" ht="15.75" customHeight="1">
      <c r="A188" s="133"/>
      <c r="B188" s="128"/>
      <c r="C188" s="134" t="str">
        <f>if(A188="", "", vlookup(A188+0.01, 'SEO Implementation Checklist'!$B:$E, counta('SEO Implementation Checklist'!$B$2:$E$2), true))</f>
        <v/>
      </c>
      <c r="D188" s="135" t="s">
        <v>368</v>
      </c>
      <c r="E188" s="137" t="s">
        <v>369</v>
      </c>
      <c r="F188" s="138"/>
      <c r="G188" s="138"/>
      <c r="H188" s="138"/>
    </row>
    <row r="189" ht="15.75" customHeight="1">
      <c r="A189" s="133"/>
      <c r="B189" s="128"/>
      <c r="C189" s="134" t="str">
        <f>if(A189="", "", vlookup(A189+0.01, 'SEO Implementation Checklist'!$B:$E, counta('SEO Implementation Checklist'!$B$2:$E$2), true))</f>
        <v/>
      </c>
      <c r="D189" s="135" t="s">
        <v>368</v>
      </c>
      <c r="E189" s="137" t="s">
        <v>369</v>
      </c>
      <c r="F189" s="138"/>
      <c r="G189" s="138"/>
      <c r="H189" s="138"/>
    </row>
    <row r="190" ht="15.75" customHeight="1">
      <c r="A190" s="133"/>
      <c r="B190" s="128"/>
      <c r="C190" s="134" t="str">
        <f>if(A190="", "", vlookup(A190+0.01, 'SEO Implementation Checklist'!$B:$E, counta('SEO Implementation Checklist'!$B$2:$E$2), true))</f>
        <v/>
      </c>
      <c r="D190" s="135" t="s">
        <v>368</v>
      </c>
      <c r="E190" s="137" t="s">
        <v>369</v>
      </c>
      <c r="F190" s="138"/>
      <c r="G190" s="138"/>
      <c r="H190" s="138"/>
    </row>
    <row r="191" ht="15.75" customHeight="1">
      <c r="A191" s="133"/>
      <c r="B191" s="128"/>
      <c r="C191" s="134" t="str">
        <f>if(A191="", "", vlookup(A191+0.01, 'SEO Implementation Checklist'!$B:$E, counta('SEO Implementation Checklist'!$B$2:$E$2), true))</f>
        <v/>
      </c>
      <c r="D191" s="135" t="s">
        <v>368</v>
      </c>
      <c r="E191" s="137" t="s">
        <v>369</v>
      </c>
      <c r="F191" s="138"/>
      <c r="G191" s="138"/>
      <c r="H191" s="138"/>
    </row>
    <row r="192" ht="15.75" customHeight="1">
      <c r="A192" s="133"/>
      <c r="B192" s="128"/>
      <c r="C192" s="134" t="str">
        <f>if(A192="", "", vlookup(A192+0.01, 'SEO Implementation Checklist'!$B:$E, counta('SEO Implementation Checklist'!$B$2:$E$2), true))</f>
        <v/>
      </c>
      <c r="D192" s="135" t="s">
        <v>368</v>
      </c>
      <c r="E192" s="137" t="s">
        <v>369</v>
      </c>
      <c r="F192" s="138"/>
      <c r="G192" s="138"/>
      <c r="H192" s="138"/>
    </row>
    <row r="193" ht="15.75" customHeight="1">
      <c r="A193" s="133"/>
      <c r="B193" s="128"/>
      <c r="C193" s="134" t="str">
        <f>if(A193="", "", vlookup(A193+0.01, 'SEO Implementation Checklist'!$B:$E, counta('SEO Implementation Checklist'!$B$2:$E$2), true))</f>
        <v/>
      </c>
      <c r="D193" s="135" t="s">
        <v>368</v>
      </c>
      <c r="E193" s="137" t="s">
        <v>369</v>
      </c>
      <c r="F193" s="138"/>
      <c r="G193" s="138"/>
      <c r="H193" s="138"/>
    </row>
    <row r="194" ht="15.75" customHeight="1">
      <c r="A194" s="133"/>
      <c r="B194" s="128"/>
      <c r="C194" s="134" t="str">
        <f>if(A194="", "", vlookup(A194+0.01, 'SEO Implementation Checklist'!$B:$E, counta('SEO Implementation Checklist'!$B$2:$E$2), true))</f>
        <v/>
      </c>
      <c r="D194" s="135" t="s">
        <v>368</v>
      </c>
      <c r="E194" s="137" t="s">
        <v>369</v>
      </c>
      <c r="F194" s="138"/>
      <c r="G194" s="138"/>
      <c r="H194" s="138"/>
    </row>
    <row r="195" ht="15.75" customHeight="1">
      <c r="A195" s="133"/>
      <c r="B195" s="128"/>
      <c r="C195" s="134" t="str">
        <f>if(A195="", "", vlookup(A195+0.01, 'SEO Implementation Checklist'!$B:$E, counta('SEO Implementation Checklist'!$B$2:$E$2), true))</f>
        <v/>
      </c>
      <c r="D195" s="135" t="s">
        <v>368</v>
      </c>
      <c r="E195" s="137" t="s">
        <v>369</v>
      </c>
      <c r="F195" s="138"/>
      <c r="G195" s="138"/>
      <c r="H195" s="138"/>
    </row>
    <row r="196" ht="15.75" customHeight="1">
      <c r="A196" s="133"/>
      <c r="B196" s="128"/>
      <c r="C196" s="134" t="str">
        <f>if(A196="", "", vlookup(A196+0.01, 'SEO Implementation Checklist'!$B:$E, counta('SEO Implementation Checklist'!$B$2:$E$2), true))</f>
        <v/>
      </c>
      <c r="D196" s="135" t="s">
        <v>368</v>
      </c>
      <c r="E196" s="137" t="s">
        <v>369</v>
      </c>
      <c r="F196" s="138"/>
      <c r="G196" s="138"/>
      <c r="H196" s="138"/>
    </row>
    <row r="197" ht="15.75" customHeight="1">
      <c r="A197" s="133"/>
      <c r="B197" s="128"/>
      <c r="C197" s="134" t="str">
        <f>if(A197="", "", vlookup(A197+0.01, 'SEO Implementation Checklist'!$B:$E, counta('SEO Implementation Checklist'!$B$2:$E$2), true))</f>
        <v/>
      </c>
      <c r="D197" s="135" t="s">
        <v>368</v>
      </c>
      <c r="E197" s="137" t="s">
        <v>369</v>
      </c>
      <c r="F197" s="138"/>
      <c r="G197" s="138"/>
      <c r="H197" s="138"/>
    </row>
    <row r="198" ht="15.75" customHeight="1">
      <c r="A198" s="133"/>
      <c r="B198" s="128"/>
      <c r="C198" s="134" t="str">
        <f>if(A198="", "", vlookup(A198+0.01, 'SEO Implementation Checklist'!$B:$E, counta('SEO Implementation Checklist'!$B$2:$E$2), true))</f>
        <v/>
      </c>
      <c r="D198" s="135" t="s">
        <v>368</v>
      </c>
      <c r="E198" s="137" t="s">
        <v>369</v>
      </c>
      <c r="F198" s="138"/>
      <c r="G198" s="138"/>
      <c r="H198" s="138"/>
    </row>
    <row r="199" ht="15.75" customHeight="1">
      <c r="A199" s="133"/>
      <c r="B199" s="128"/>
      <c r="C199" s="134" t="str">
        <f>if(A199="", "", vlookup(A199+0.01, 'SEO Implementation Checklist'!$B:$E, counta('SEO Implementation Checklist'!$B$2:$E$2), true))</f>
        <v/>
      </c>
      <c r="D199" s="135" t="s">
        <v>368</v>
      </c>
      <c r="E199" s="137" t="s">
        <v>369</v>
      </c>
      <c r="F199" s="138"/>
      <c r="G199" s="138"/>
      <c r="H199" s="138"/>
    </row>
    <row r="200" ht="15.75" customHeight="1">
      <c r="A200" s="133"/>
      <c r="B200" s="128"/>
      <c r="C200" s="134" t="str">
        <f>if(A200="", "", vlookup(A200+0.01, 'SEO Implementation Checklist'!$B:$E, counta('SEO Implementation Checklist'!$B$2:$E$2), true))</f>
        <v/>
      </c>
      <c r="D200" s="135" t="s">
        <v>368</v>
      </c>
      <c r="E200" s="137" t="s">
        <v>369</v>
      </c>
      <c r="F200" s="138"/>
      <c r="G200" s="138"/>
      <c r="H200" s="138"/>
    </row>
    <row r="201" ht="15.75" customHeight="1">
      <c r="A201" s="133"/>
      <c r="B201" s="128"/>
      <c r="C201" s="134" t="str">
        <f>if(A201="", "", vlookup(A201+0.01, 'SEO Implementation Checklist'!$B:$E, counta('SEO Implementation Checklist'!$B$2:$E$2), true))</f>
        <v/>
      </c>
      <c r="D201" s="135" t="s">
        <v>368</v>
      </c>
      <c r="E201" s="137" t="s">
        <v>369</v>
      </c>
      <c r="F201" s="138"/>
      <c r="G201" s="138"/>
      <c r="H201" s="138"/>
    </row>
    <row r="202" ht="15.75" customHeight="1">
      <c r="A202" s="133"/>
      <c r="B202" s="128"/>
      <c r="C202" s="134" t="str">
        <f>if(A202="", "", vlookup(A202+0.01, 'SEO Implementation Checklist'!$B:$E, counta('SEO Implementation Checklist'!$B$2:$E$2), true))</f>
        <v/>
      </c>
      <c r="D202" s="135" t="s">
        <v>368</v>
      </c>
      <c r="E202" s="137" t="s">
        <v>369</v>
      </c>
      <c r="F202" s="138"/>
      <c r="G202" s="138"/>
      <c r="H202" s="138"/>
    </row>
    <row r="203" ht="15.75" customHeight="1">
      <c r="A203" s="133"/>
      <c r="B203" s="128"/>
      <c r="C203" s="134" t="str">
        <f>if(A203="", "", vlookup(A203+0.01, 'SEO Implementation Checklist'!$B:$E, counta('SEO Implementation Checklist'!$B$2:$E$2), true))</f>
        <v/>
      </c>
      <c r="D203" s="135" t="s">
        <v>368</v>
      </c>
      <c r="E203" s="137" t="s">
        <v>369</v>
      </c>
      <c r="F203" s="138"/>
      <c r="G203" s="138"/>
      <c r="H203" s="138"/>
    </row>
    <row r="204" ht="15.75" customHeight="1">
      <c r="A204" s="133"/>
      <c r="B204" s="128"/>
      <c r="C204" s="134" t="str">
        <f>if(A204="", "", vlookup(A204+0.01, 'SEO Implementation Checklist'!$B:$E, counta('SEO Implementation Checklist'!$B$2:$E$2), true))</f>
        <v/>
      </c>
      <c r="D204" s="135" t="s">
        <v>368</v>
      </c>
      <c r="E204" s="137" t="s">
        <v>369</v>
      </c>
      <c r="F204" s="138"/>
      <c r="G204" s="138"/>
      <c r="H204" s="138"/>
    </row>
    <row r="205" ht="15.75" customHeight="1">
      <c r="A205" s="133"/>
      <c r="B205" s="128"/>
      <c r="C205" s="134" t="str">
        <f>if(A205="", "", vlookup(A205+0.01, 'SEO Implementation Checklist'!$B:$E, counta('SEO Implementation Checklist'!$B$2:$E$2), true))</f>
        <v/>
      </c>
      <c r="D205" s="135" t="s">
        <v>368</v>
      </c>
      <c r="E205" s="137" t="s">
        <v>369</v>
      </c>
      <c r="F205" s="138"/>
      <c r="G205" s="138"/>
      <c r="H205" s="138"/>
    </row>
    <row r="206" ht="15.75" customHeight="1">
      <c r="A206" s="133"/>
      <c r="B206" s="128"/>
      <c r="C206" s="134" t="str">
        <f>if(A206="", "", vlookup(A206+0.01, 'SEO Implementation Checklist'!$B:$E, counta('SEO Implementation Checklist'!$B$2:$E$2), true))</f>
        <v/>
      </c>
      <c r="D206" s="135" t="s">
        <v>368</v>
      </c>
      <c r="E206" s="137" t="s">
        <v>369</v>
      </c>
      <c r="F206" s="138"/>
      <c r="G206" s="138"/>
      <c r="H206" s="138"/>
    </row>
    <row r="207" ht="15.75" customHeight="1">
      <c r="A207" s="133"/>
      <c r="B207" s="128"/>
      <c r="C207" s="134" t="str">
        <f>if(A207="", "", vlookup(A207+0.01, 'SEO Implementation Checklist'!$B:$E, counta('SEO Implementation Checklist'!$B$2:$E$2), true))</f>
        <v/>
      </c>
      <c r="D207" s="135" t="s">
        <v>368</v>
      </c>
      <c r="E207" s="137" t="s">
        <v>369</v>
      </c>
      <c r="F207" s="138"/>
      <c r="G207" s="138"/>
      <c r="H207" s="138"/>
    </row>
    <row r="208" ht="15.75" customHeight="1">
      <c r="A208" s="133"/>
      <c r="B208" s="128"/>
      <c r="C208" s="134" t="str">
        <f>if(A208="", "", vlookup(A208+0.01, 'SEO Implementation Checklist'!$B:$E, counta('SEO Implementation Checklist'!$B$2:$E$2), true))</f>
        <v/>
      </c>
      <c r="D208" s="135" t="s">
        <v>368</v>
      </c>
      <c r="E208" s="137" t="s">
        <v>369</v>
      </c>
      <c r="F208" s="138"/>
      <c r="G208" s="138"/>
      <c r="H208" s="138"/>
    </row>
    <row r="209" ht="15.75" customHeight="1">
      <c r="A209" s="133"/>
      <c r="B209" s="128"/>
      <c r="C209" s="134" t="str">
        <f>if(A209="", "", vlookup(A209+0.01, 'SEO Implementation Checklist'!$B:$E, counta('SEO Implementation Checklist'!$B$2:$E$2), true))</f>
        <v/>
      </c>
      <c r="D209" s="135" t="s">
        <v>368</v>
      </c>
      <c r="E209" s="137" t="s">
        <v>369</v>
      </c>
      <c r="F209" s="138"/>
      <c r="G209" s="138"/>
      <c r="H209" s="138"/>
    </row>
    <row r="210" ht="15.75" customHeight="1">
      <c r="A210" s="133"/>
      <c r="B210" s="128"/>
      <c r="C210" s="134" t="str">
        <f>if(A210="", "", vlookup(A210+0.01, 'SEO Implementation Checklist'!$B:$E, counta('SEO Implementation Checklist'!$B$2:$E$2), true))</f>
        <v/>
      </c>
      <c r="D210" s="135" t="s">
        <v>368</v>
      </c>
      <c r="E210" s="137" t="s">
        <v>369</v>
      </c>
      <c r="F210" s="138"/>
      <c r="G210" s="138"/>
      <c r="H210" s="138"/>
    </row>
    <row r="211" ht="15.75" customHeight="1">
      <c r="A211" s="133"/>
      <c r="B211" s="128"/>
      <c r="C211" s="134" t="str">
        <f>if(A211="", "", vlookup(A211+0.01, 'SEO Implementation Checklist'!$B:$E, counta('SEO Implementation Checklist'!$B$2:$E$2), true))</f>
        <v/>
      </c>
      <c r="D211" s="135" t="s">
        <v>368</v>
      </c>
      <c r="E211" s="137" t="s">
        <v>369</v>
      </c>
      <c r="F211" s="138"/>
      <c r="G211" s="138"/>
      <c r="H211" s="138"/>
    </row>
    <row r="212" ht="15.75" customHeight="1">
      <c r="A212" s="133"/>
      <c r="B212" s="128"/>
      <c r="C212" s="134" t="str">
        <f>if(A212="", "", vlookup(A212+0.01, 'SEO Implementation Checklist'!$B:$E, counta('SEO Implementation Checklist'!$B$2:$E$2), true))</f>
        <v/>
      </c>
      <c r="D212" s="135" t="s">
        <v>368</v>
      </c>
      <c r="E212" s="137" t="s">
        <v>369</v>
      </c>
      <c r="F212" s="138"/>
      <c r="G212" s="138"/>
      <c r="H212" s="138"/>
    </row>
    <row r="213" ht="15.75" customHeight="1">
      <c r="A213" s="133"/>
      <c r="B213" s="128"/>
      <c r="C213" s="134" t="str">
        <f>if(A213="", "", vlookup(A213+0.01, 'SEO Implementation Checklist'!$B:$E, counta('SEO Implementation Checklist'!$B$2:$E$2), true))</f>
        <v/>
      </c>
      <c r="D213" s="135" t="s">
        <v>368</v>
      </c>
      <c r="E213" s="137" t="s">
        <v>369</v>
      </c>
      <c r="F213" s="138"/>
      <c r="G213" s="138"/>
      <c r="H213" s="138"/>
    </row>
    <row r="214" ht="15.75" customHeight="1">
      <c r="A214" s="133"/>
      <c r="B214" s="128"/>
      <c r="C214" s="134" t="str">
        <f>if(A214="", "", vlookup(A214+0.01, 'SEO Implementation Checklist'!$B:$E, counta('SEO Implementation Checklist'!$B$2:$E$2), true))</f>
        <v/>
      </c>
      <c r="D214" s="135" t="s">
        <v>368</v>
      </c>
      <c r="E214" s="137" t="s">
        <v>369</v>
      </c>
      <c r="F214" s="138"/>
      <c r="G214" s="138"/>
      <c r="H214" s="138"/>
    </row>
    <row r="215" ht="15.75" customHeight="1">
      <c r="A215" s="133"/>
      <c r="B215" s="128"/>
      <c r="C215" s="134" t="str">
        <f>if(A215="", "", vlookup(A215+0.01, 'SEO Implementation Checklist'!$B:$E, counta('SEO Implementation Checklist'!$B$2:$E$2), true))</f>
        <v/>
      </c>
      <c r="D215" s="135" t="s">
        <v>368</v>
      </c>
      <c r="E215" s="137" t="s">
        <v>369</v>
      </c>
      <c r="F215" s="138"/>
      <c r="G215" s="138"/>
      <c r="H215" s="138"/>
    </row>
    <row r="216" ht="15.75" customHeight="1">
      <c r="A216" s="133"/>
      <c r="B216" s="128"/>
      <c r="C216" s="134" t="str">
        <f>if(A216="", "", vlookup(A216+0.01, 'SEO Implementation Checklist'!$B:$E, counta('SEO Implementation Checklist'!$B$2:$E$2), true))</f>
        <v/>
      </c>
      <c r="D216" s="135" t="s">
        <v>368</v>
      </c>
      <c r="E216" s="137" t="s">
        <v>369</v>
      </c>
      <c r="F216" s="138"/>
      <c r="G216" s="138"/>
      <c r="H216" s="138"/>
    </row>
    <row r="217" ht="15.75" customHeight="1">
      <c r="A217" s="133"/>
      <c r="B217" s="128"/>
      <c r="C217" s="134" t="str">
        <f>if(A217="", "", vlookup(A217+0.01, 'SEO Implementation Checklist'!$B:$E, counta('SEO Implementation Checklist'!$B$2:$E$2), true))</f>
        <v/>
      </c>
      <c r="D217" s="135" t="s">
        <v>368</v>
      </c>
      <c r="E217" s="137" t="s">
        <v>369</v>
      </c>
      <c r="F217" s="138"/>
      <c r="G217" s="138"/>
      <c r="H217" s="138"/>
    </row>
    <row r="218" ht="15.75" customHeight="1">
      <c r="A218" s="133"/>
      <c r="B218" s="128"/>
      <c r="C218" s="134" t="str">
        <f>if(A218="", "", vlookup(A218+0.01, 'SEO Implementation Checklist'!$B:$E, counta('SEO Implementation Checklist'!$B$2:$E$2), true))</f>
        <v/>
      </c>
      <c r="D218" s="135" t="s">
        <v>368</v>
      </c>
      <c r="E218" s="137" t="s">
        <v>369</v>
      </c>
      <c r="F218" s="138"/>
      <c r="G218" s="138"/>
      <c r="H218" s="139"/>
    </row>
    <row r="219" ht="15.75" customHeight="1">
      <c r="A219" s="133"/>
      <c r="B219" s="128"/>
      <c r="C219" s="134" t="str">
        <f>if(A219="", "", vlookup(A219+0.01, 'SEO Implementation Checklist'!$B:$E, counta('SEO Implementation Checklist'!$B$2:$E$2), true))</f>
        <v/>
      </c>
      <c r="D219" s="135" t="s">
        <v>368</v>
      </c>
      <c r="E219" s="137" t="s">
        <v>369</v>
      </c>
      <c r="F219" s="138"/>
      <c r="G219" s="138"/>
      <c r="H219" s="139"/>
    </row>
    <row r="220" ht="15.75" customHeight="1">
      <c r="A220" s="133"/>
      <c r="B220" s="128"/>
      <c r="C220" s="134" t="str">
        <f>if(A220="", "", vlookup(A220+0.01, 'SEO Implementation Checklist'!$B:$E, counta('SEO Implementation Checklist'!$B$2:$E$2), true))</f>
        <v/>
      </c>
      <c r="D220" s="135" t="s">
        <v>368</v>
      </c>
      <c r="E220" s="137" t="s">
        <v>369</v>
      </c>
      <c r="F220" s="138"/>
      <c r="G220" s="138"/>
      <c r="H220" s="139"/>
    </row>
    <row r="221" ht="15.75" customHeight="1">
      <c r="A221" s="133"/>
      <c r="B221" s="128"/>
      <c r="C221" s="134" t="str">
        <f>if(A221="", "", vlookup(A221+0.01, 'SEO Implementation Checklist'!$B:$E, counta('SEO Implementation Checklist'!$B$2:$E$2), true))</f>
        <v/>
      </c>
      <c r="D221" s="135" t="s">
        <v>368</v>
      </c>
      <c r="E221" s="137" t="s">
        <v>369</v>
      </c>
      <c r="F221" s="138"/>
      <c r="G221" s="138"/>
      <c r="H221" s="139"/>
    </row>
    <row r="222" ht="15.75" customHeight="1">
      <c r="A222" s="133"/>
      <c r="B222" s="128"/>
      <c r="C222" s="134" t="str">
        <f>if(A222="", "", vlookup(A222+0.01, 'SEO Implementation Checklist'!$B:$E, counta('SEO Implementation Checklist'!$B$2:$E$2), true))</f>
        <v/>
      </c>
      <c r="D222" s="135" t="s">
        <v>368</v>
      </c>
      <c r="E222" s="137" t="s">
        <v>369</v>
      </c>
      <c r="F222" s="138"/>
      <c r="G222" s="138"/>
      <c r="H222" s="139"/>
    </row>
    <row r="223" ht="15.75" customHeight="1">
      <c r="A223" s="133"/>
      <c r="B223" s="128"/>
      <c r="C223" s="134" t="str">
        <f>if(A223="", "", vlookup(A223+0.01, 'SEO Implementation Checklist'!$B:$E, counta('SEO Implementation Checklist'!$B$2:$E$2), true))</f>
        <v/>
      </c>
      <c r="D223" s="135" t="s">
        <v>368</v>
      </c>
      <c r="E223" s="137" t="s">
        <v>369</v>
      </c>
      <c r="F223" s="138"/>
      <c r="G223" s="138"/>
      <c r="H223" s="139"/>
    </row>
    <row r="224" ht="15.75" customHeight="1">
      <c r="A224" s="133"/>
      <c r="B224" s="128"/>
      <c r="C224" s="134" t="str">
        <f>if(A224="", "", vlookup(A224+0.01, 'SEO Implementation Checklist'!$B:$E, counta('SEO Implementation Checklist'!$B$2:$E$2), true))</f>
        <v/>
      </c>
      <c r="D224" s="135" t="s">
        <v>368</v>
      </c>
      <c r="E224" s="137" t="s">
        <v>369</v>
      </c>
      <c r="F224" s="138"/>
      <c r="G224" s="138"/>
      <c r="H224" s="139"/>
    </row>
    <row r="225" ht="15.75" customHeight="1">
      <c r="A225" s="133"/>
      <c r="B225" s="128"/>
      <c r="C225" s="134" t="str">
        <f>if(A225="", "", vlookup(A225+0.01, 'SEO Implementation Checklist'!$B:$E, counta('SEO Implementation Checklist'!$B$2:$E$2), true))</f>
        <v/>
      </c>
      <c r="D225" s="135" t="s">
        <v>368</v>
      </c>
      <c r="E225" s="137" t="s">
        <v>369</v>
      </c>
      <c r="F225" s="138"/>
      <c r="G225" s="138"/>
      <c r="H225" s="139"/>
    </row>
    <row r="226" ht="15.75" customHeight="1">
      <c r="A226" s="133"/>
      <c r="B226" s="128"/>
      <c r="C226" s="134" t="str">
        <f>if(A226="", "", vlookup(A226+0.01, 'SEO Implementation Checklist'!$B:$E, counta('SEO Implementation Checklist'!$B$2:$E$2), true))</f>
        <v/>
      </c>
      <c r="D226" s="135" t="s">
        <v>368</v>
      </c>
      <c r="E226" s="137" t="s">
        <v>369</v>
      </c>
      <c r="F226" s="138"/>
      <c r="G226" s="138"/>
      <c r="H226" s="139"/>
    </row>
    <row r="227" ht="15.75" customHeight="1">
      <c r="A227" s="133"/>
      <c r="B227" s="128"/>
      <c r="C227" s="134" t="str">
        <f>if(A227="", "", vlookup(A227+0.01, 'SEO Implementation Checklist'!$B:$E, counta('SEO Implementation Checklist'!$B$2:$E$2), true))</f>
        <v/>
      </c>
      <c r="D227" s="135" t="s">
        <v>368</v>
      </c>
      <c r="E227" s="137" t="s">
        <v>369</v>
      </c>
      <c r="F227" s="138"/>
      <c r="G227" s="138"/>
      <c r="H227" s="139"/>
    </row>
    <row r="228" ht="15.75" customHeight="1">
      <c r="A228" s="133"/>
      <c r="B228" s="128"/>
      <c r="C228" s="134" t="str">
        <f>if(A228="", "", vlookup(A228+0.01, 'SEO Implementation Checklist'!$B:$E, counta('SEO Implementation Checklist'!$B$2:$E$2), true))</f>
        <v/>
      </c>
      <c r="D228" s="135" t="s">
        <v>368</v>
      </c>
      <c r="E228" s="137" t="s">
        <v>369</v>
      </c>
      <c r="F228" s="138"/>
      <c r="G228" s="138"/>
      <c r="H228" s="139"/>
    </row>
    <row r="229" ht="15.75" customHeight="1">
      <c r="A229" s="133"/>
      <c r="B229" s="128"/>
      <c r="C229" s="134" t="str">
        <f>if(A229="", "", vlookup(A229+0.01, 'SEO Implementation Checklist'!$B:$E, counta('SEO Implementation Checklist'!$B$2:$E$2), true))</f>
        <v/>
      </c>
      <c r="D229" s="135" t="s">
        <v>368</v>
      </c>
      <c r="E229" s="137" t="s">
        <v>369</v>
      </c>
      <c r="F229" s="138"/>
      <c r="G229" s="138"/>
      <c r="H229" s="139"/>
    </row>
    <row r="230" ht="15.75" customHeight="1">
      <c r="A230" s="133"/>
      <c r="B230" s="128"/>
      <c r="C230" s="134" t="str">
        <f>if(A230="", "", vlookup(A230+0.01, 'SEO Implementation Checklist'!$B:$E, counta('SEO Implementation Checklist'!$B$2:$E$2), true))</f>
        <v/>
      </c>
      <c r="D230" s="135" t="s">
        <v>368</v>
      </c>
      <c r="E230" s="137" t="s">
        <v>369</v>
      </c>
      <c r="F230" s="138"/>
      <c r="G230" s="138"/>
      <c r="H230" s="139"/>
    </row>
    <row r="231" ht="15.75" customHeight="1">
      <c r="A231" s="133"/>
      <c r="B231" s="128"/>
      <c r="C231" s="134" t="str">
        <f>if(A231="", "", vlookup(A231+0.01, 'SEO Implementation Checklist'!$B:$E, counta('SEO Implementation Checklist'!$B$2:$E$2), true))</f>
        <v/>
      </c>
      <c r="D231" s="135" t="s">
        <v>368</v>
      </c>
      <c r="E231" s="137" t="s">
        <v>369</v>
      </c>
      <c r="F231" s="138"/>
      <c r="G231" s="138"/>
      <c r="H231" s="139"/>
    </row>
    <row r="232" ht="15.75" customHeight="1">
      <c r="A232" s="133"/>
      <c r="B232" s="128"/>
      <c r="C232" s="134" t="str">
        <f>if(A232="", "", vlookup(A232+0.01, 'SEO Implementation Checklist'!$B:$E, counta('SEO Implementation Checklist'!$B$2:$E$2), true))</f>
        <v/>
      </c>
      <c r="D232" s="135" t="s">
        <v>368</v>
      </c>
      <c r="E232" s="137" t="s">
        <v>369</v>
      </c>
      <c r="F232" s="138"/>
      <c r="G232" s="138"/>
      <c r="H232" s="139"/>
    </row>
    <row r="233" ht="15.75" customHeight="1">
      <c r="A233" s="133"/>
      <c r="B233" s="128"/>
      <c r="C233" s="134" t="str">
        <f>if(A233="", "", vlookup(A233+0.01, 'SEO Implementation Checklist'!$B:$E, counta('SEO Implementation Checklist'!$B$2:$E$2), true))</f>
        <v/>
      </c>
      <c r="D233" s="135" t="s">
        <v>368</v>
      </c>
      <c r="E233" s="137" t="s">
        <v>369</v>
      </c>
      <c r="F233" s="138"/>
      <c r="G233" s="138"/>
      <c r="H233" s="139"/>
    </row>
    <row r="234" ht="15.75" customHeight="1">
      <c r="A234" s="133"/>
      <c r="B234" s="128"/>
      <c r="C234" s="134" t="str">
        <f>if(A234="", "", vlookup(A234+0.01, 'SEO Implementation Checklist'!$B:$E, counta('SEO Implementation Checklist'!$B$2:$E$2), true))</f>
        <v/>
      </c>
      <c r="D234" s="135" t="s">
        <v>368</v>
      </c>
      <c r="E234" s="137" t="s">
        <v>369</v>
      </c>
      <c r="F234" s="138"/>
      <c r="G234" s="138"/>
      <c r="H234" s="139"/>
    </row>
    <row r="235" ht="15.75" customHeight="1">
      <c r="A235" s="133"/>
      <c r="B235" s="128"/>
      <c r="C235" s="134" t="str">
        <f>if(A235="", "", vlookup(A235+0.01, 'SEO Implementation Checklist'!$B:$E, counta('SEO Implementation Checklist'!$B$2:$E$2), true))</f>
        <v/>
      </c>
      <c r="D235" s="135" t="s">
        <v>368</v>
      </c>
      <c r="E235" s="137" t="s">
        <v>369</v>
      </c>
      <c r="F235" s="138"/>
      <c r="G235" s="138"/>
      <c r="H235" s="139"/>
    </row>
    <row r="236" ht="15.75" customHeight="1">
      <c r="A236" s="133"/>
      <c r="B236" s="128"/>
      <c r="C236" s="134" t="str">
        <f>if(A236="", "", vlookup(A236+0.01, 'SEO Implementation Checklist'!$B:$E, counta('SEO Implementation Checklist'!$B$2:$E$2), true))</f>
        <v/>
      </c>
      <c r="D236" s="135" t="s">
        <v>368</v>
      </c>
      <c r="E236" s="137" t="s">
        <v>369</v>
      </c>
      <c r="F236" s="138"/>
      <c r="G236" s="138"/>
      <c r="H236" s="139"/>
    </row>
    <row r="237" ht="15.75" customHeight="1">
      <c r="A237" s="133"/>
      <c r="B237" s="128"/>
      <c r="C237" s="134" t="str">
        <f>if(A237="", "", vlookup(A237+0.01, 'SEO Implementation Checklist'!$B:$E, counta('SEO Implementation Checklist'!$B$2:$E$2), true))</f>
        <v/>
      </c>
      <c r="D237" s="135" t="s">
        <v>368</v>
      </c>
      <c r="E237" s="137" t="s">
        <v>369</v>
      </c>
      <c r="F237" s="138"/>
      <c r="G237" s="138"/>
      <c r="H237" s="139"/>
    </row>
    <row r="238" ht="15.75" customHeight="1">
      <c r="A238" s="133"/>
      <c r="B238" s="128"/>
      <c r="C238" s="134" t="str">
        <f>if(A238="", "", vlookup(A238+0.01, 'SEO Implementation Checklist'!$B:$E, counta('SEO Implementation Checklist'!$B$2:$E$2), true))</f>
        <v/>
      </c>
      <c r="D238" s="135" t="s">
        <v>368</v>
      </c>
      <c r="E238" s="137" t="s">
        <v>369</v>
      </c>
      <c r="F238" s="138"/>
      <c r="G238" s="138"/>
      <c r="H238" s="139"/>
    </row>
    <row r="239" ht="15.75" customHeight="1">
      <c r="A239" s="133"/>
      <c r="B239" s="128"/>
      <c r="C239" s="134" t="str">
        <f>if(A239="", "", vlookup(A239+0.01, 'SEO Implementation Checklist'!$B:$E, counta('SEO Implementation Checklist'!$B$2:$E$2), true))</f>
        <v/>
      </c>
      <c r="D239" s="135" t="s">
        <v>368</v>
      </c>
      <c r="E239" s="137" t="s">
        <v>369</v>
      </c>
      <c r="F239" s="138"/>
      <c r="G239" s="138"/>
      <c r="H239" s="139"/>
    </row>
    <row r="240" ht="15.75" customHeight="1">
      <c r="A240" s="133"/>
      <c r="B240" s="128"/>
      <c r="C240" s="134" t="str">
        <f>if(A240="", "", vlookup(A240+0.01, 'SEO Implementation Checklist'!$B:$E, counta('SEO Implementation Checklist'!$B$2:$E$2), true))</f>
        <v/>
      </c>
      <c r="D240" s="135" t="s">
        <v>368</v>
      </c>
      <c r="E240" s="137" t="s">
        <v>369</v>
      </c>
      <c r="F240" s="138"/>
      <c r="G240" s="138"/>
      <c r="H240" s="139"/>
    </row>
    <row r="241" ht="15.75" customHeight="1">
      <c r="A241" s="133"/>
      <c r="B241" s="128"/>
      <c r="C241" s="134" t="str">
        <f>if(A241="", "", vlookup(A241+0.01, 'SEO Implementation Checklist'!$B:$E, counta('SEO Implementation Checklist'!$B$2:$E$2), true))</f>
        <v/>
      </c>
      <c r="D241" s="135" t="s">
        <v>368</v>
      </c>
      <c r="E241" s="137" t="s">
        <v>369</v>
      </c>
      <c r="F241" s="138"/>
      <c r="G241" s="138"/>
      <c r="H241" s="139"/>
    </row>
    <row r="242" ht="15.75" customHeight="1">
      <c r="A242" s="133"/>
      <c r="B242" s="128"/>
      <c r="C242" s="134" t="str">
        <f>if(A242="", "", vlookup(A242+0.01, 'SEO Implementation Checklist'!$B:$E, counta('SEO Implementation Checklist'!$B$2:$E$2), true))</f>
        <v/>
      </c>
      <c r="D242" s="135" t="s">
        <v>368</v>
      </c>
      <c r="E242" s="137" t="s">
        <v>369</v>
      </c>
      <c r="F242" s="138"/>
      <c r="G242" s="138"/>
      <c r="H242" s="139"/>
    </row>
    <row r="243" ht="15.75" customHeight="1">
      <c r="A243" s="133"/>
      <c r="B243" s="128"/>
      <c r="C243" s="134" t="str">
        <f>if(A243="", "", vlookup(A243+0.01, 'SEO Implementation Checklist'!$B:$E, counta('SEO Implementation Checklist'!$B$2:$E$2), true))</f>
        <v/>
      </c>
      <c r="D243" s="135" t="s">
        <v>368</v>
      </c>
      <c r="E243" s="137" t="s">
        <v>369</v>
      </c>
      <c r="F243" s="138"/>
      <c r="G243" s="138"/>
      <c r="H243" s="139"/>
    </row>
    <row r="244" ht="15.75" customHeight="1">
      <c r="A244" s="133"/>
      <c r="B244" s="128"/>
      <c r="C244" s="134" t="str">
        <f>if(A244="", "", vlookup(A244+0.01, 'SEO Implementation Checklist'!$B:$E, counta('SEO Implementation Checklist'!$B$2:$E$2), true))</f>
        <v/>
      </c>
      <c r="D244" s="135" t="s">
        <v>368</v>
      </c>
      <c r="E244" s="137" t="s">
        <v>369</v>
      </c>
      <c r="F244" s="138"/>
      <c r="G244" s="138"/>
      <c r="H244" s="139"/>
    </row>
    <row r="245" ht="15.75" customHeight="1">
      <c r="A245" s="133"/>
      <c r="B245" s="128"/>
      <c r="C245" s="134" t="str">
        <f>if(A245="", "", vlookup(A245+0.01, 'SEO Implementation Checklist'!$B:$E, counta('SEO Implementation Checklist'!$B$2:$E$2), true))</f>
        <v/>
      </c>
      <c r="D245" s="135" t="s">
        <v>368</v>
      </c>
      <c r="E245" s="137" t="s">
        <v>369</v>
      </c>
      <c r="F245" s="138"/>
      <c r="G245" s="138"/>
      <c r="H245" s="139"/>
    </row>
    <row r="246" ht="15.75" customHeight="1">
      <c r="A246" s="133"/>
      <c r="B246" s="128"/>
      <c r="C246" s="134" t="str">
        <f>if(A246="", "", vlookup(A246+0.01, 'SEO Implementation Checklist'!$B:$E, counta('SEO Implementation Checklist'!$B$2:$E$2), true))</f>
        <v/>
      </c>
      <c r="D246" s="135" t="s">
        <v>368</v>
      </c>
      <c r="E246" s="137" t="s">
        <v>369</v>
      </c>
      <c r="F246" s="138"/>
      <c r="G246" s="138"/>
      <c r="H246" s="139"/>
    </row>
    <row r="247" ht="15.75" customHeight="1">
      <c r="A247" s="133"/>
      <c r="B247" s="128"/>
      <c r="C247" s="134" t="str">
        <f>if(A247="", "", vlookup(A247+0.01, 'SEO Implementation Checklist'!$B:$E, counta('SEO Implementation Checklist'!$B$2:$E$2), true))</f>
        <v/>
      </c>
      <c r="D247" s="135" t="s">
        <v>368</v>
      </c>
      <c r="E247" s="137" t="s">
        <v>369</v>
      </c>
      <c r="F247" s="138"/>
      <c r="G247" s="138"/>
      <c r="H247" s="139"/>
    </row>
    <row r="248" ht="15.75" customHeight="1">
      <c r="A248" s="133"/>
      <c r="B248" s="128"/>
      <c r="C248" s="134" t="str">
        <f>if(A248="", "", vlookup(A248+0.01, 'SEO Implementation Checklist'!$B:$E, counta('SEO Implementation Checklist'!$B$2:$E$2), true))</f>
        <v/>
      </c>
      <c r="D248" s="135" t="s">
        <v>368</v>
      </c>
      <c r="E248" s="137" t="s">
        <v>369</v>
      </c>
      <c r="F248" s="138"/>
      <c r="G248" s="138"/>
      <c r="H248" s="139"/>
    </row>
    <row r="249" ht="15.75" customHeight="1">
      <c r="A249" s="133"/>
      <c r="B249" s="128"/>
      <c r="C249" s="134" t="str">
        <f>if(A249="", "", vlookup(A249+0.01, 'SEO Implementation Checklist'!$B:$E, counta('SEO Implementation Checklist'!$B$2:$E$2), true))</f>
        <v/>
      </c>
      <c r="D249" s="135" t="s">
        <v>368</v>
      </c>
      <c r="E249" s="137" t="s">
        <v>369</v>
      </c>
      <c r="F249" s="138"/>
      <c r="G249" s="138"/>
      <c r="H249" s="139"/>
    </row>
    <row r="250" ht="15.75" customHeight="1">
      <c r="A250" s="133"/>
      <c r="B250" s="128"/>
      <c r="C250" s="134" t="str">
        <f>if(A250="", "", vlookup(A250+0.01, 'SEO Implementation Checklist'!$B:$E, counta('SEO Implementation Checklist'!$B$2:$E$2), true))</f>
        <v/>
      </c>
      <c r="D250" s="135" t="s">
        <v>368</v>
      </c>
      <c r="E250" s="137" t="s">
        <v>369</v>
      </c>
      <c r="F250" s="138"/>
      <c r="G250" s="138"/>
      <c r="H250" s="139"/>
    </row>
    <row r="251" ht="15.75" customHeight="1">
      <c r="A251" s="133"/>
      <c r="B251" s="128"/>
      <c r="C251" s="134" t="str">
        <f>if(A251="", "", vlookup(A251+0.01, 'SEO Implementation Checklist'!$B:$E, counta('SEO Implementation Checklist'!$B$2:$E$2), true))</f>
        <v/>
      </c>
      <c r="D251" s="135" t="s">
        <v>368</v>
      </c>
      <c r="E251" s="137" t="s">
        <v>369</v>
      </c>
      <c r="F251" s="138"/>
      <c r="G251" s="138"/>
      <c r="H251" s="139"/>
    </row>
    <row r="252" ht="15.75" customHeight="1">
      <c r="A252" s="133"/>
      <c r="B252" s="128"/>
      <c r="C252" s="134" t="str">
        <f>if(A252="", "", vlookup(A252+0.01, 'SEO Implementation Checklist'!$B:$E, counta('SEO Implementation Checklist'!$B$2:$E$2), true))</f>
        <v/>
      </c>
      <c r="D252" s="135" t="s">
        <v>368</v>
      </c>
      <c r="E252" s="137" t="s">
        <v>369</v>
      </c>
      <c r="F252" s="138"/>
      <c r="G252" s="138"/>
      <c r="H252" s="139"/>
    </row>
    <row r="253" ht="15.75" customHeight="1">
      <c r="A253" s="133"/>
      <c r="B253" s="128"/>
      <c r="C253" s="134" t="str">
        <f>if(A253="", "", vlookup(A253+0.01, 'SEO Implementation Checklist'!$B:$E, counta('SEO Implementation Checklist'!$B$2:$E$2), true))</f>
        <v/>
      </c>
      <c r="D253" s="135" t="s">
        <v>368</v>
      </c>
      <c r="E253" s="137" t="s">
        <v>369</v>
      </c>
      <c r="F253" s="138"/>
      <c r="G253" s="138"/>
      <c r="H253" s="139"/>
    </row>
    <row r="254" ht="15.75" customHeight="1">
      <c r="A254" s="133"/>
      <c r="B254" s="128"/>
      <c r="C254" s="134" t="str">
        <f>if(A254="", "", vlookup(A254+0.01, 'SEO Implementation Checklist'!$B:$E, counta('SEO Implementation Checklist'!$B$2:$E$2), true))</f>
        <v/>
      </c>
      <c r="D254" s="135" t="s">
        <v>368</v>
      </c>
      <c r="E254" s="137" t="s">
        <v>369</v>
      </c>
      <c r="F254" s="138"/>
      <c r="G254" s="138"/>
      <c r="H254" s="139"/>
    </row>
    <row r="255" ht="15.75" customHeight="1">
      <c r="A255" s="133"/>
      <c r="B255" s="128"/>
      <c r="C255" s="134" t="str">
        <f>if(A255="", "", vlookup(A255+0.01, 'SEO Implementation Checklist'!$B:$E, counta('SEO Implementation Checklist'!$B$2:$E$2), true))</f>
        <v/>
      </c>
      <c r="D255" s="135" t="s">
        <v>368</v>
      </c>
      <c r="E255" s="137" t="s">
        <v>369</v>
      </c>
      <c r="F255" s="138"/>
      <c r="G255" s="138"/>
      <c r="H255" s="139"/>
    </row>
    <row r="256" ht="15.75" customHeight="1">
      <c r="A256" s="133"/>
      <c r="B256" s="128"/>
      <c r="C256" s="134" t="str">
        <f>if(A256="", "", vlookup(A256+0.01, 'SEO Implementation Checklist'!$B:$E, counta('SEO Implementation Checklist'!$B$2:$E$2), true))</f>
        <v/>
      </c>
      <c r="D256" s="135" t="s">
        <v>368</v>
      </c>
      <c r="E256" s="137" t="s">
        <v>369</v>
      </c>
      <c r="F256" s="138"/>
      <c r="G256" s="138"/>
      <c r="H256" s="139"/>
    </row>
    <row r="257" ht="15.75" customHeight="1">
      <c r="A257" s="133"/>
      <c r="B257" s="128"/>
      <c r="C257" s="134" t="str">
        <f>if(A257="", "", vlookup(A257+0.01, 'SEO Implementation Checklist'!$B:$E, counta('SEO Implementation Checklist'!$B$2:$E$2), true))</f>
        <v/>
      </c>
      <c r="D257" s="135" t="s">
        <v>368</v>
      </c>
      <c r="E257" s="137" t="s">
        <v>369</v>
      </c>
      <c r="F257" s="138"/>
      <c r="G257" s="138"/>
      <c r="H257" s="139"/>
    </row>
    <row r="258" ht="15.75" customHeight="1">
      <c r="A258" s="133"/>
      <c r="B258" s="128"/>
      <c r="C258" s="134" t="str">
        <f>if(A258="", "", vlookup(A258+0.01, 'SEO Implementation Checklist'!$B:$E, counta('SEO Implementation Checklist'!$B$2:$E$2), true))</f>
        <v/>
      </c>
      <c r="D258" s="135" t="s">
        <v>368</v>
      </c>
      <c r="E258" s="137" t="s">
        <v>369</v>
      </c>
      <c r="F258" s="138"/>
      <c r="G258" s="138"/>
      <c r="H258" s="139"/>
    </row>
    <row r="259" ht="15.75" customHeight="1">
      <c r="A259" s="133"/>
      <c r="B259" s="128"/>
      <c r="C259" s="134" t="str">
        <f>if(A259="", "", vlookup(A259+0.01, 'SEO Implementation Checklist'!$B:$E, counta('SEO Implementation Checklist'!$B$2:$E$2), true))</f>
        <v/>
      </c>
      <c r="D259" s="135" t="s">
        <v>368</v>
      </c>
      <c r="E259" s="137" t="s">
        <v>369</v>
      </c>
      <c r="F259" s="138"/>
      <c r="G259" s="138"/>
      <c r="H259" s="139"/>
    </row>
    <row r="260" ht="15.75" customHeight="1">
      <c r="A260" s="133"/>
      <c r="B260" s="128"/>
      <c r="C260" s="134" t="str">
        <f>if(A260="", "", vlookup(A260+0.01, 'SEO Implementation Checklist'!$B:$E, counta('SEO Implementation Checklist'!$B$2:$E$2), true))</f>
        <v/>
      </c>
      <c r="D260" s="135" t="s">
        <v>368</v>
      </c>
      <c r="E260" s="137" t="s">
        <v>369</v>
      </c>
      <c r="F260" s="138"/>
      <c r="G260" s="138"/>
      <c r="H260" s="139"/>
    </row>
    <row r="261" ht="15.75" customHeight="1">
      <c r="A261" s="133"/>
      <c r="B261" s="128"/>
      <c r="C261" s="134" t="str">
        <f>if(A261="", "", vlookup(A261+0.01, 'SEO Implementation Checklist'!$B:$E, counta('SEO Implementation Checklist'!$B$2:$E$2), true))</f>
        <v/>
      </c>
      <c r="D261" s="135" t="s">
        <v>368</v>
      </c>
      <c r="E261" s="137" t="s">
        <v>369</v>
      </c>
      <c r="F261" s="138"/>
      <c r="G261" s="138"/>
      <c r="H261" s="139"/>
    </row>
    <row r="262" ht="15.75" customHeight="1">
      <c r="A262" s="133"/>
      <c r="B262" s="128"/>
      <c r="C262" s="134" t="str">
        <f>if(A262="", "", vlookup(A262+0.01, 'SEO Implementation Checklist'!$B:$E, counta('SEO Implementation Checklist'!$B$2:$E$2), true))</f>
        <v/>
      </c>
      <c r="D262" s="135" t="s">
        <v>368</v>
      </c>
      <c r="E262" s="137" t="s">
        <v>369</v>
      </c>
      <c r="F262" s="138"/>
      <c r="G262" s="138"/>
      <c r="H262" s="139"/>
    </row>
    <row r="263" ht="15.75" customHeight="1">
      <c r="A263" s="133"/>
      <c r="B263" s="128"/>
      <c r="C263" s="134" t="str">
        <f>if(A263="", "", vlookup(A263+0.01, 'SEO Implementation Checklist'!$B:$E, counta('SEO Implementation Checklist'!$B$2:$E$2), true))</f>
        <v/>
      </c>
      <c r="D263" s="135" t="s">
        <v>368</v>
      </c>
      <c r="E263" s="137" t="s">
        <v>369</v>
      </c>
      <c r="F263" s="138"/>
      <c r="G263" s="138"/>
      <c r="H263" s="139"/>
    </row>
    <row r="264" ht="15.75" customHeight="1">
      <c r="A264" s="133"/>
      <c r="B264" s="128"/>
      <c r="C264" s="134" t="str">
        <f>if(A264="", "", vlookup(A264+0.01, 'SEO Implementation Checklist'!$B:$E, counta('SEO Implementation Checklist'!$B$2:$E$2), true))</f>
        <v/>
      </c>
      <c r="D264" s="135" t="s">
        <v>368</v>
      </c>
      <c r="E264" s="137" t="s">
        <v>369</v>
      </c>
      <c r="F264" s="138"/>
      <c r="G264" s="138"/>
      <c r="H264" s="139"/>
    </row>
    <row r="265" ht="15.75" customHeight="1">
      <c r="A265" s="133"/>
      <c r="B265" s="128"/>
      <c r="C265" s="134" t="str">
        <f>if(A265="", "", vlookup(A265+0.01, 'SEO Implementation Checklist'!$B:$E, counta('SEO Implementation Checklist'!$B$2:$E$2), true))</f>
        <v/>
      </c>
      <c r="D265" s="135" t="s">
        <v>368</v>
      </c>
      <c r="E265" s="137" t="s">
        <v>369</v>
      </c>
      <c r="F265" s="138"/>
      <c r="G265" s="138"/>
      <c r="H265" s="139"/>
    </row>
    <row r="266" ht="15.75" customHeight="1">
      <c r="A266" s="133"/>
      <c r="B266" s="128"/>
      <c r="C266" s="134" t="str">
        <f>if(A266="", "", vlookup(A266+0.01, 'SEO Implementation Checklist'!$B:$E, counta('SEO Implementation Checklist'!$B$2:$E$2), true))</f>
        <v/>
      </c>
      <c r="D266" s="135" t="s">
        <v>368</v>
      </c>
      <c r="E266" s="137" t="s">
        <v>369</v>
      </c>
      <c r="F266" s="138"/>
      <c r="G266" s="138"/>
      <c r="H266" s="139"/>
    </row>
    <row r="267" ht="15.75" customHeight="1">
      <c r="A267" s="133"/>
      <c r="B267" s="128"/>
      <c r="C267" s="134" t="str">
        <f>if(A267="", "", vlookup(A267+0.01, 'SEO Implementation Checklist'!$B:$E, counta('SEO Implementation Checklist'!$B$2:$E$2), true))</f>
        <v/>
      </c>
      <c r="D267" s="135" t="s">
        <v>368</v>
      </c>
      <c r="E267" s="137" t="s">
        <v>369</v>
      </c>
      <c r="F267" s="138"/>
      <c r="G267" s="138"/>
      <c r="H267" s="139"/>
    </row>
    <row r="268" ht="15.75" customHeight="1">
      <c r="A268" s="133"/>
      <c r="B268" s="128"/>
      <c r="C268" s="134" t="str">
        <f>if(A268="", "", vlookup(A268+0.01, 'SEO Implementation Checklist'!$B:$E, counta('SEO Implementation Checklist'!$B$2:$E$2), true))</f>
        <v/>
      </c>
      <c r="D268" s="135" t="s">
        <v>368</v>
      </c>
      <c r="E268" s="137" t="s">
        <v>369</v>
      </c>
      <c r="F268" s="138"/>
      <c r="G268" s="138"/>
      <c r="H268" s="139"/>
    </row>
    <row r="269" ht="15.75" customHeight="1">
      <c r="A269" s="133"/>
      <c r="B269" s="128"/>
      <c r="C269" s="134" t="str">
        <f>if(A269="", "", vlookup(A269+0.01, 'SEO Implementation Checklist'!$B:$E, counta('SEO Implementation Checklist'!$B$2:$E$2), true))</f>
        <v/>
      </c>
      <c r="D269" s="135" t="s">
        <v>368</v>
      </c>
      <c r="E269" s="137" t="s">
        <v>369</v>
      </c>
      <c r="F269" s="138"/>
      <c r="G269" s="138"/>
      <c r="H269" s="139"/>
    </row>
    <row r="270" ht="15.75" customHeight="1">
      <c r="A270" s="133"/>
      <c r="B270" s="128"/>
      <c r="C270" s="134" t="str">
        <f>if(A270="", "", vlookup(A270+0.01, 'SEO Implementation Checklist'!$B:$E, counta('SEO Implementation Checklist'!$B$2:$E$2), true))</f>
        <v/>
      </c>
      <c r="D270" s="135" t="s">
        <v>368</v>
      </c>
      <c r="E270" s="137" t="s">
        <v>369</v>
      </c>
      <c r="F270" s="138"/>
      <c r="G270" s="138"/>
      <c r="H270" s="139"/>
    </row>
    <row r="271" ht="15.75" customHeight="1">
      <c r="A271" s="133"/>
      <c r="B271" s="128"/>
      <c r="C271" s="134" t="str">
        <f>if(A271="", "", vlookup(A271+0.01, 'SEO Implementation Checklist'!$B:$E, counta('SEO Implementation Checklist'!$B$2:$E$2), true))</f>
        <v/>
      </c>
      <c r="D271" s="135" t="s">
        <v>368</v>
      </c>
      <c r="E271" s="137" t="s">
        <v>369</v>
      </c>
      <c r="F271" s="138"/>
      <c r="G271" s="138"/>
      <c r="H271" s="139"/>
    </row>
    <row r="272" ht="15.75" customHeight="1">
      <c r="A272" s="133"/>
      <c r="B272" s="128"/>
      <c r="C272" s="134" t="str">
        <f>if(A272="", "", vlookup(A272+0.01, 'SEO Implementation Checklist'!$B:$E, counta('SEO Implementation Checklist'!$B$2:$E$2), true))</f>
        <v/>
      </c>
      <c r="D272" s="135" t="s">
        <v>368</v>
      </c>
      <c r="E272" s="137" t="s">
        <v>369</v>
      </c>
      <c r="F272" s="138"/>
      <c r="G272" s="138"/>
      <c r="H272" s="139"/>
    </row>
    <row r="273" ht="15.75" customHeight="1">
      <c r="A273" s="133"/>
      <c r="B273" s="128"/>
      <c r="C273" s="134" t="str">
        <f>if(A273="", "", vlookup(A273+0.01, 'SEO Implementation Checklist'!$B:$E, counta('SEO Implementation Checklist'!$B$2:$E$2), true))</f>
        <v/>
      </c>
      <c r="D273" s="135" t="s">
        <v>368</v>
      </c>
      <c r="E273" s="137" t="s">
        <v>369</v>
      </c>
      <c r="F273" s="138"/>
      <c r="G273" s="138"/>
      <c r="H273" s="139"/>
    </row>
    <row r="274" ht="15.75" customHeight="1">
      <c r="A274" s="133"/>
      <c r="B274" s="128"/>
      <c r="C274" s="134" t="str">
        <f>if(A274="", "", vlookup(A274+0.01, 'SEO Implementation Checklist'!$B:$E, counta('SEO Implementation Checklist'!$B$2:$E$2), true))</f>
        <v/>
      </c>
      <c r="D274" s="135" t="s">
        <v>368</v>
      </c>
      <c r="E274" s="137" t="s">
        <v>369</v>
      </c>
      <c r="F274" s="138"/>
      <c r="G274" s="138"/>
      <c r="H274" s="139"/>
    </row>
    <row r="275" ht="15.75" customHeight="1">
      <c r="A275" s="133"/>
      <c r="B275" s="128"/>
      <c r="C275" s="134" t="str">
        <f>if(A275="", "", vlookup(A275+0.01, 'SEO Implementation Checklist'!$B:$E, counta('SEO Implementation Checklist'!$B$2:$E$2), true))</f>
        <v/>
      </c>
      <c r="D275" s="135" t="s">
        <v>368</v>
      </c>
      <c r="E275" s="137" t="s">
        <v>369</v>
      </c>
      <c r="F275" s="138"/>
      <c r="G275" s="138"/>
      <c r="H275" s="139"/>
    </row>
    <row r="276" ht="15.75" customHeight="1">
      <c r="A276" s="133"/>
      <c r="B276" s="128"/>
      <c r="C276" s="134" t="str">
        <f>if(A276="", "", vlookup(A276+0.01, 'SEO Implementation Checklist'!$B:$E, counta('SEO Implementation Checklist'!$B$2:$E$2), true))</f>
        <v/>
      </c>
      <c r="D276" s="135" t="s">
        <v>368</v>
      </c>
      <c r="E276" s="137" t="s">
        <v>369</v>
      </c>
      <c r="F276" s="138"/>
      <c r="G276" s="138"/>
      <c r="H276" s="139"/>
    </row>
    <row r="277" ht="15.75" customHeight="1">
      <c r="A277" s="133"/>
      <c r="B277" s="128"/>
      <c r="C277" s="134" t="str">
        <f>if(A277="", "", vlookup(A277+0.01, 'SEO Implementation Checklist'!$B:$E, counta('SEO Implementation Checklist'!$B$2:$E$2), true))</f>
        <v/>
      </c>
      <c r="D277" s="135" t="s">
        <v>368</v>
      </c>
      <c r="E277" s="137" t="s">
        <v>369</v>
      </c>
      <c r="F277" s="138"/>
      <c r="G277" s="138"/>
      <c r="H277" s="139"/>
    </row>
    <row r="278" ht="15.75" customHeight="1">
      <c r="A278" s="133"/>
      <c r="B278" s="128"/>
      <c r="C278" s="134" t="str">
        <f>if(A278="", "", vlookup(A278+0.01, 'SEO Implementation Checklist'!$B:$E, counta('SEO Implementation Checklist'!$B$2:$E$2), true))</f>
        <v/>
      </c>
      <c r="D278" s="135" t="s">
        <v>368</v>
      </c>
      <c r="E278" s="137" t="s">
        <v>369</v>
      </c>
      <c r="F278" s="138"/>
      <c r="G278" s="138"/>
      <c r="H278" s="139"/>
    </row>
    <row r="279" ht="15.75" customHeight="1">
      <c r="A279" s="133"/>
      <c r="B279" s="128"/>
      <c r="C279" s="134" t="str">
        <f>if(A279="", "", vlookup(A279+0.01, 'SEO Implementation Checklist'!$B:$E, counta('SEO Implementation Checklist'!$B$2:$E$2), true))</f>
        <v/>
      </c>
      <c r="D279" s="135" t="s">
        <v>368</v>
      </c>
      <c r="E279" s="137" t="s">
        <v>369</v>
      </c>
      <c r="F279" s="138"/>
      <c r="G279" s="138"/>
      <c r="H279" s="139"/>
    </row>
    <row r="280" ht="15.75" customHeight="1">
      <c r="A280" s="133"/>
      <c r="B280" s="128"/>
      <c r="C280" s="134" t="str">
        <f>if(A280="", "", vlookup(A280+0.01, 'SEO Implementation Checklist'!$B:$E, counta('SEO Implementation Checklist'!$B$2:$E$2), true))</f>
        <v/>
      </c>
      <c r="D280" s="135" t="s">
        <v>368</v>
      </c>
      <c r="E280" s="137" t="s">
        <v>369</v>
      </c>
      <c r="F280" s="138"/>
      <c r="G280" s="138"/>
      <c r="H280" s="139"/>
    </row>
    <row r="281" ht="15.75" customHeight="1">
      <c r="A281" s="133"/>
      <c r="B281" s="128"/>
      <c r="C281" s="134" t="str">
        <f>if(A281="", "", vlookup(A281+0.01, 'SEO Implementation Checklist'!$B:$E, counta('SEO Implementation Checklist'!$B$2:$E$2), true))</f>
        <v/>
      </c>
      <c r="D281" s="135" t="s">
        <v>368</v>
      </c>
      <c r="E281" s="137" t="s">
        <v>369</v>
      </c>
      <c r="F281" s="138"/>
      <c r="G281" s="138"/>
      <c r="H281" s="139"/>
    </row>
    <row r="282" ht="15.75" customHeight="1">
      <c r="A282" s="133"/>
      <c r="B282" s="128"/>
      <c r="C282" s="134" t="str">
        <f>if(A282="", "", vlookup(A282+0.01, 'SEO Implementation Checklist'!$B:$E, counta('SEO Implementation Checklist'!$B$2:$E$2), true))</f>
        <v/>
      </c>
      <c r="D282" s="135" t="s">
        <v>368</v>
      </c>
      <c r="E282" s="137" t="s">
        <v>369</v>
      </c>
      <c r="F282" s="138"/>
      <c r="G282" s="138"/>
      <c r="H282" s="139"/>
    </row>
    <row r="283" ht="15.75" customHeight="1">
      <c r="A283" s="133"/>
      <c r="B283" s="128"/>
      <c r="C283" s="134" t="str">
        <f>if(A283="", "", vlookup(A283+0.01, 'SEO Implementation Checklist'!$B:$E, counta('SEO Implementation Checklist'!$B$2:$E$2), true))</f>
        <v/>
      </c>
      <c r="D283" s="135" t="s">
        <v>368</v>
      </c>
      <c r="E283" s="137" t="s">
        <v>369</v>
      </c>
      <c r="F283" s="138"/>
      <c r="G283" s="138"/>
      <c r="H283" s="139"/>
    </row>
    <row r="284" ht="15.75" customHeight="1">
      <c r="A284" s="133"/>
      <c r="B284" s="128"/>
      <c r="C284" s="134" t="str">
        <f>if(A284="", "", vlookup(A284+0.01, 'SEO Implementation Checklist'!$B:$E, counta('SEO Implementation Checklist'!$B$2:$E$2), true))</f>
        <v/>
      </c>
      <c r="D284" s="135" t="s">
        <v>368</v>
      </c>
      <c r="E284" s="137" t="s">
        <v>369</v>
      </c>
      <c r="F284" s="138"/>
      <c r="G284" s="138"/>
      <c r="H284" s="139"/>
    </row>
    <row r="285" ht="15.75" customHeight="1">
      <c r="A285" s="133"/>
      <c r="B285" s="128"/>
      <c r="C285" s="134" t="str">
        <f>if(A285="", "", vlookup(A285+0.01, 'SEO Implementation Checklist'!$B:$E, counta('SEO Implementation Checklist'!$B$2:$E$2), true))</f>
        <v/>
      </c>
      <c r="D285" s="135" t="s">
        <v>368</v>
      </c>
      <c r="E285" s="137" t="s">
        <v>369</v>
      </c>
      <c r="F285" s="138"/>
      <c r="G285" s="138"/>
      <c r="H285" s="139"/>
    </row>
    <row r="286" ht="15.75" customHeight="1">
      <c r="A286" s="133"/>
      <c r="B286" s="128"/>
      <c r="C286" s="134" t="str">
        <f>if(A286="", "", vlookup(A286+0.01, 'SEO Implementation Checklist'!$B:$E, counta('SEO Implementation Checklist'!$B$2:$E$2), true))</f>
        <v/>
      </c>
      <c r="D286" s="135" t="s">
        <v>368</v>
      </c>
      <c r="E286" s="137" t="s">
        <v>369</v>
      </c>
      <c r="F286" s="138"/>
      <c r="G286" s="138"/>
      <c r="H286" s="139"/>
    </row>
    <row r="287" ht="15.75" customHeight="1">
      <c r="A287" s="133"/>
      <c r="B287" s="128"/>
      <c r="C287" s="134" t="str">
        <f>if(A287="", "", vlookup(A287+0.01, 'SEO Implementation Checklist'!$B:$E, counta('SEO Implementation Checklist'!$B$2:$E$2), true))</f>
        <v/>
      </c>
      <c r="D287" s="135" t="s">
        <v>368</v>
      </c>
      <c r="E287" s="137" t="s">
        <v>369</v>
      </c>
      <c r="F287" s="138"/>
      <c r="G287" s="138"/>
      <c r="H287" s="139"/>
    </row>
    <row r="288" ht="15.75" customHeight="1">
      <c r="A288" s="133"/>
      <c r="B288" s="128"/>
      <c r="C288" s="134" t="str">
        <f>if(A288="", "", vlookup(A288+0.01, 'SEO Implementation Checklist'!$B:$E, counta('SEO Implementation Checklist'!$B$2:$E$2), true))</f>
        <v/>
      </c>
      <c r="D288" s="135" t="s">
        <v>368</v>
      </c>
      <c r="E288" s="137" t="s">
        <v>369</v>
      </c>
      <c r="F288" s="138"/>
      <c r="G288" s="138"/>
      <c r="H288" s="139"/>
    </row>
    <row r="289" ht="15.75" customHeight="1">
      <c r="A289" s="133"/>
      <c r="B289" s="128"/>
      <c r="C289" s="134" t="str">
        <f>if(A289="", "", vlookup(A289+0.01, 'SEO Implementation Checklist'!$B:$E, counta('SEO Implementation Checklist'!$B$2:$E$2), true))</f>
        <v/>
      </c>
      <c r="D289" s="135" t="s">
        <v>368</v>
      </c>
      <c r="E289" s="137" t="s">
        <v>369</v>
      </c>
      <c r="F289" s="138"/>
      <c r="G289" s="138"/>
      <c r="H289" s="139"/>
    </row>
    <row r="290" ht="15.75" customHeight="1">
      <c r="A290" s="133"/>
      <c r="B290" s="128"/>
      <c r="C290" s="134" t="str">
        <f>if(A290="", "", vlookup(A290+0.01, 'SEO Implementation Checklist'!$B:$E, counta('SEO Implementation Checklist'!$B$2:$E$2), true))</f>
        <v/>
      </c>
      <c r="D290" s="135" t="s">
        <v>368</v>
      </c>
      <c r="E290" s="137" t="s">
        <v>369</v>
      </c>
      <c r="F290" s="138"/>
      <c r="G290" s="138"/>
      <c r="H290" s="139"/>
    </row>
    <row r="291" ht="15.75" customHeight="1">
      <c r="A291" s="133"/>
      <c r="B291" s="128"/>
      <c r="C291" s="134" t="str">
        <f>if(A291="", "", vlookup(A291+0.01, 'SEO Implementation Checklist'!$B:$E, counta('SEO Implementation Checklist'!$B$2:$E$2), true))</f>
        <v/>
      </c>
      <c r="D291" s="135" t="s">
        <v>368</v>
      </c>
      <c r="E291" s="137" t="s">
        <v>369</v>
      </c>
      <c r="F291" s="138"/>
      <c r="G291" s="138"/>
      <c r="H291" s="139"/>
    </row>
    <row r="292" ht="15.75" customHeight="1">
      <c r="A292" s="133"/>
      <c r="B292" s="128"/>
      <c r="C292" s="134" t="str">
        <f>if(A292="", "", vlookup(A292+0.01, 'SEO Implementation Checklist'!$B:$E, counta('SEO Implementation Checklist'!$B$2:$E$2), true))</f>
        <v/>
      </c>
      <c r="D292" s="135" t="s">
        <v>368</v>
      </c>
      <c r="E292" s="137" t="s">
        <v>369</v>
      </c>
      <c r="F292" s="138"/>
      <c r="G292" s="138"/>
      <c r="H292" s="139"/>
    </row>
    <row r="293" ht="15.75" customHeight="1">
      <c r="A293" s="133"/>
      <c r="B293" s="128"/>
      <c r="C293" s="134" t="str">
        <f>if(A293="", "", vlookup(A293+0.01, 'SEO Implementation Checklist'!$B:$E, counta('SEO Implementation Checklist'!$B$2:$E$2), true))</f>
        <v/>
      </c>
      <c r="D293" s="135" t="s">
        <v>368</v>
      </c>
      <c r="E293" s="137" t="s">
        <v>369</v>
      </c>
      <c r="F293" s="138"/>
      <c r="G293" s="138"/>
      <c r="H293" s="139"/>
    </row>
    <row r="294" ht="15.75" customHeight="1">
      <c r="A294" s="133"/>
      <c r="B294" s="128"/>
      <c r="C294" s="134" t="str">
        <f>if(A294="", "", vlookup(A294+0.01, 'SEO Implementation Checklist'!$B:$E, counta('SEO Implementation Checklist'!$B$2:$E$2), true))</f>
        <v/>
      </c>
      <c r="D294" s="135" t="s">
        <v>368</v>
      </c>
      <c r="E294" s="137" t="s">
        <v>369</v>
      </c>
      <c r="F294" s="138"/>
      <c r="G294" s="138"/>
      <c r="H294" s="139"/>
    </row>
    <row r="295" ht="15.75" customHeight="1">
      <c r="A295" s="133"/>
      <c r="B295" s="128"/>
      <c r="C295" s="134" t="str">
        <f>if(A295="", "", vlookup(A295+0.01, 'SEO Implementation Checklist'!$B:$E, counta('SEO Implementation Checklist'!$B$2:$E$2), true))</f>
        <v/>
      </c>
      <c r="D295" s="135" t="s">
        <v>368</v>
      </c>
      <c r="E295" s="137" t="s">
        <v>369</v>
      </c>
      <c r="F295" s="138"/>
      <c r="G295" s="138"/>
      <c r="H295" s="139"/>
    </row>
    <row r="296" ht="15.75" customHeight="1">
      <c r="A296" s="133"/>
      <c r="B296" s="128"/>
      <c r="C296" s="134" t="str">
        <f>if(A296="", "", vlookup(A296+0.01, 'SEO Implementation Checklist'!$B:$E, counta('SEO Implementation Checklist'!$B$2:$E$2), true))</f>
        <v/>
      </c>
      <c r="D296" s="135" t="s">
        <v>368</v>
      </c>
      <c r="E296" s="137" t="s">
        <v>369</v>
      </c>
      <c r="F296" s="138"/>
      <c r="G296" s="138"/>
      <c r="H296" s="139"/>
    </row>
    <row r="297" ht="15.75" customHeight="1">
      <c r="A297" s="133"/>
      <c r="B297" s="128"/>
      <c r="C297" s="134" t="str">
        <f>if(A297="", "", vlookup(A297+0.01, 'SEO Implementation Checklist'!$B:$E, counta('SEO Implementation Checklist'!$B$2:$E$2), true))</f>
        <v/>
      </c>
      <c r="D297" s="135" t="s">
        <v>368</v>
      </c>
      <c r="E297" s="137" t="s">
        <v>369</v>
      </c>
      <c r="F297" s="138"/>
      <c r="G297" s="138"/>
      <c r="H297" s="139"/>
    </row>
    <row r="298" ht="15.75" customHeight="1">
      <c r="A298" s="133"/>
      <c r="B298" s="128"/>
      <c r="C298" s="134" t="str">
        <f>if(A298="", "", vlookup(A298+0.01, 'SEO Implementation Checklist'!$B:$E, counta('SEO Implementation Checklist'!$B$2:$E$2), true))</f>
        <v/>
      </c>
      <c r="D298" s="135" t="s">
        <v>368</v>
      </c>
      <c r="E298" s="137" t="s">
        <v>369</v>
      </c>
      <c r="F298" s="138"/>
      <c r="G298" s="138"/>
      <c r="H298" s="139"/>
    </row>
    <row r="299" ht="15.75" customHeight="1">
      <c r="A299" s="133"/>
      <c r="B299" s="128"/>
      <c r="C299" s="134" t="str">
        <f>if(A299="", "", vlookup(A299+0.01, 'SEO Implementation Checklist'!$B:$E, counta('SEO Implementation Checklist'!$B$2:$E$2), true))</f>
        <v/>
      </c>
      <c r="D299" s="135" t="s">
        <v>368</v>
      </c>
      <c r="E299" s="137" t="s">
        <v>369</v>
      </c>
      <c r="F299" s="138"/>
      <c r="G299" s="138"/>
      <c r="H299" s="139"/>
    </row>
    <row r="300" ht="15.75" customHeight="1">
      <c r="A300" s="133"/>
      <c r="B300" s="128"/>
      <c r="C300" s="134" t="str">
        <f>if(A300="", "", vlookup(A300+0.01, 'SEO Implementation Checklist'!$B:$E, counta('SEO Implementation Checklist'!$B$2:$E$2), true))</f>
        <v/>
      </c>
      <c r="D300" s="135" t="s">
        <v>368</v>
      </c>
      <c r="E300" s="137" t="s">
        <v>369</v>
      </c>
      <c r="F300" s="138"/>
      <c r="G300" s="138"/>
      <c r="H300" s="139"/>
    </row>
    <row r="301" ht="15.75" customHeight="1">
      <c r="A301" s="133"/>
      <c r="B301" s="128"/>
      <c r="C301" s="134" t="str">
        <f>if(A301="", "", vlookup(A301+0.01, 'SEO Implementation Checklist'!$B:$E, counta('SEO Implementation Checklist'!$B$2:$E$2), true))</f>
        <v/>
      </c>
      <c r="D301" s="135" t="s">
        <v>368</v>
      </c>
      <c r="E301" s="137" t="s">
        <v>369</v>
      </c>
      <c r="F301" s="138"/>
      <c r="G301" s="138"/>
      <c r="H301" s="139"/>
    </row>
    <row r="302" ht="15.75" customHeight="1">
      <c r="A302" s="133"/>
      <c r="B302" s="128"/>
      <c r="C302" s="134" t="str">
        <f>if(A302="", "", vlookup(A302+0.01, 'SEO Implementation Checklist'!$B:$E, counta('SEO Implementation Checklist'!$B$2:$E$2), true))</f>
        <v/>
      </c>
      <c r="D302" s="135" t="s">
        <v>368</v>
      </c>
      <c r="E302" s="137" t="s">
        <v>369</v>
      </c>
      <c r="F302" s="138"/>
      <c r="G302" s="138"/>
      <c r="H302" s="139"/>
    </row>
    <row r="303" ht="15.75" customHeight="1">
      <c r="A303" s="133"/>
      <c r="B303" s="128"/>
      <c r="C303" s="134" t="str">
        <f>if(A303="", "", vlookup(A303+0.01, 'SEO Implementation Checklist'!$B:$E, counta('SEO Implementation Checklist'!$B$2:$E$2), true))</f>
        <v/>
      </c>
      <c r="D303" s="135" t="s">
        <v>368</v>
      </c>
      <c r="E303" s="137" t="s">
        <v>369</v>
      </c>
      <c r="F303" s="138"/>
      <c r="G303" s="138"/>
      <c r="H303" s="139"/>
    </row>
    <row r="304" ht="15.75" customHeight="1">
      <c r="A304" s="133"/>
      <c r="B304" s="128"/>
      <c r="C304" s="134" t="str">
        <f>if(A304="", "", vlookup(A304+0.01, 'SEO Implementation Checklist'!$B:$E, counta('SEO Implementation Checklist'!$B$2:$E$2), true))</f>
        <v/>
      </c>
      <c r="D304" s="135" t="s">
        <v>368</v>
      </c>
      <c r="E304" s="137" t="s">
        <v>369</v>
      </c>
      <c r="F304" s="138"/>
      <c r="G304" s="138"/>
      <c r="H304" s="139"/>
    </row>
    <row r="305" ht="15.75" customHeight="1">
      <c r="A305" s="133"/>
      <c r="B305" s="128"/>
      <c r="C305" s="134" t="str">
        <f>if(A305="", "", vlookup(A305+0.01, 'SEO Implementation Checklist'!$B:$E, counta('SEO Implementation Checklist'!$B$2:$E$2), true))</f>
        <v/>
      </c>
      <c r="D305" s="135" t="s">
        <v>368</v>
      </c>
      <c r="E305" s="137" t="s">
        <v>369</v>
      </c>
      <c r="F305" s="138"/>
      <c r="G305" s="138"/>
      <c r="H305" s="139"/>
    </row>
    <row r="306" ht="15.75" customHeight="1">
      <c r="A306" s="133"/>
      <c r="B306" s="128"/>
      <c r="C306" s="134" t="str">
        <f>if(A306="", "", vlookup(A306+0.01, 'SEO Implementation Checklist'!$B:$E, counta('SEO Implementation Checklist'!$B$2:$E$2), true))</f>
        <v/>
      </c>
      <c r="D306" s="135" t="s">
        <v>368</v>
      </c>
      <c r="E306" s="137" t="s">
        <v>369</v>
      </c>
      <c r="F306" s="138"/>
      <c r="G306" s="138"/>
      <c r="H306" s="139"/>
    </row>
    <row r="307" ht="15.75" customHeight="1">
      <c r="A307" s="133"/>
      <c r="B307" s="128"/>
      <c r="C307" s="134" t="str">
        <f>if(A307="", "", vlookup(A307+0.01, 'SEO Implementation Checklist'!$B:$E, counta('SEO Implementation Checklist'!$B$2:$E$2), true))</f>
        <v/>
      </c>
      <c r="D307" s="135" t="s">
        <v>368</v>
      </c>
      <c r="E307" s="137" t="s">
        <v>369</v>
      </c>
      <c r="F307" s="138"/>
      <c r="G307" s="138"/>
      <c r="H307" s="139"/>
    </row>
    <row r="308" ht="15.75" customHeight="1">
      <c r="A308" s="133"/>
      <c r="B308" s="128"/>
      <c r="C308" s="134" t="str">
        <f>if(A308="", "", vlookup(A308+0.01, 'SEO Implementation Checklist'!$B:$E, counta('SEO Implementation Checklist'!$B$2:$E$2), true))</f>
        <v/>
      </c>
      <c r="D308" s="135" t="s">
        <v>368</v>
      </c>
      <c r="E308" s="137" t="s">
        <v>369</v>
      </c>
      <c r="F308" s="138"/>
      <c r="G308" s="138"/>
      <c r="H308" s="139"/>
    </row>
    <row r="309" ht="15.75" customHeight="1">
      <c r="A309" s="133"/>
      <c r="B309" s="128"/>
      <c r="C309" s="134" t="str">
        <f>if(A309="", "", vlookup(A309+0.01, 'SEO Implementation Checklist'!$B:$E, counta('SEO Implementation Checklist'!$B$2:$E$2), true))</f>
        <v/>
      </c>
      <c r="D309" s="135" t="s">
        <v>368</v>
      </c>
      <c r="E309" s="137" t="s">
        <v>369</v>
      </c>
      <c r="F309" s="138"/>
      <c r="G309" s="138"/>
      <c r="H309" s="139"/>
    </row>
    <row r="310" ht="15.75" customHeight="1">
      <c r="A310" s="133"/>
      <c r="B310" s="128"/>
      <c r="C310" s="134" t="str">
        <f>if(A310="", "", vlookup(A310+0.01, 'SEO Implementation Checklist'!$B:$E, counta('SEO Implementation Checklist'!$B$2:$E$2), true))</f>
        <v/>
      </c>
      <c r="D310" s="135" t="s">
        <v>368</v>
      </c>
      <c r="E310" s="137" t="s">
        <v>369</v>
      </c>
      <c r="F310" s="138"/>
      <c r="G310" s="138"/>
      <c r="H310" s="139"/>
    </row>
    <row r="311" ht="15.75" customHeight="1">
      <c r="A311" s="133"/>
      <c r="B311" s="128"/>
      <c r="C311" s="134" t="str">
        <f>if(A311="", "", vlookup(A311+0.01, 'SEO Implementation Checklist'!$B:$E, counta('SEO Implementation Checklist'!$B$2:$E$2), true))</f>
        <v/>
      </c>
      <c r="D311" s="135" t="s">
        <v>368</v>
      </c>
      <c r="E311" s="137" t="s">
        <v>369</v>
      </c>
      <c r="F311" s="138"/>
      <c r="G311" s="138"/>
      <c r="H311" s="139"/>
    </row>
    <row r="312" ht="15.75" customHeight="1">
      <c r="A312" s="133"/>
      <c r="B312" s="128"/>
      <c r="C312" s="134" t="str">
        <f>if(A312="", "", vlookup(A312+0.01, 'SEO Implementation Checklist'!$B:$E, counta('SEO Implementation Checklist'!$B$2:$E$2), true))</f>
        <v/>
      </c>
      <c r="D312" s="135" t="s">
        <v>368</v>
      </c>
      <c r="E312" s="137" t="s">
        <v>369</v>
      </c>
      <c r="F312" s="138"/>
      <c r="G312" s="138"/>
      <c r="H312" s="139"/>
    </row>
    <row r="313" ht="15.75" customHeight="1">
      <c r="A313" s="133"/>
      <c r="B313" s="128"/>
      <c r="C313" s="134" t="str">
        <f>if(A313="", "", vlookup(A313+0.01, 'SEO Implementation Checklist'!$B:$E, counta('SEO Implementation Checklist'!$B$2:$E$2), true))</f>
        <v/>
      </c>
      <c r="D313" s="135" t="s">
        <v>368</v>
      </c>
      <c r="E313" s="137" t="s">
        <v>369</v>
      </c>
      <c r="F313" s="138"/>
      <c r="G313" s="138"/>
      <c r="H313" s="139"/>
    </row>
    <row r="314" ht="15.75" customHeight="1">
      <c r="A314" s="133"/>
      <c r="B314" s="128"/>
      <c r="C314" s="134" t="str">
        <f>if(A314="", "", vlookup(A314+0.01, 'SEO Implementation Checklist'!$B:$E, counta('SEO Implementation Checklist'!$B$2:$E$2), true))</f>
        <v/>
      </c>
      <c r="D314" s="135" t="s">
        <v>368</v>
      </c>
      <c r="E314" s="137" t="s">
        <v>369</v>
      </c>
      <c r="F314" s="138"/>
      <c r="G314" s="138"/>
      <c r="H314" s="139"/>
    </row>
    <row r="315" ht="15.75" customHeight="1">
      <c r="A315" s="133"/>
      <c r="B315" s="128"/>
      <c r="C315" s="134" t="str">
        <f>if(A315="", "", vlookup(A315+0.01, 'SEO Implementation Checklist'!$B:$E, counta('SEO Implementation Checklist'!$B$2:$E$2), true))</f>
        <v/>
      </c>
      <c r="D315" s="135" t="s">
        <v>368</v>
      </c>
      <c r="E315" s="137" t="s">
        <v>369</v>
      </c>
      <c r="F315" s="138"/>
      <c r="G315" s="138"/>
      <c r="H315" s="139"/>
    </row>
    <row r="316" ht="15.75" customHeight="1">
      <c r="A316" s="133"/>
      <c r="B316" s="128"/>
      <c r="C316" s="134" t="str">
        <f>if(A316="", "", vlookup(A316+0.01, 'SEO Implementation Checklist'!$B:$E, counta('SEO Implementation Checklist'!$B$2:$E$2), true))</f>
        <v/>
      </c>
      <c r="D316" s="135" t="s">
        <v>368</v>
      </c>
      <c r="E316" s="137" t="s">
        <v>369</v>
      </c>
      <c r="F316" s="138"/>
      <c r="G316" s="138"/>
      <c r="H316" s="139"/>
    </row>
    <row r="317" ht="15.75" customHeight="1">
      <c r="A317" s="133"/>
      <c r="B317" s="128"/>
      <c r="C317" s="134" t="str">
        <f>if(A317="", "", vlookup(A317+0.01, 'SEO Implementation Checklist'!$B:$E, counta('SEO Implementation Checklist'!$B$2:$E$2), true))</f>
        <v/>
      </c>
      <c r="D317" s="135" t="s">
        <v>368</v>
      </c>
      <c r="E317" s="137" t="s">
        <v>369</v>
      </c>
      <c r="F317" s="138"/>
      <c r="G317" s="138"/>
      <c r="H317" s="139"/>
    </row>
    <row r="318" ht="15.75" customHeight="1">
      <c r="A318" s="133"/>
      <c r="B318" s="128"/>
      <c r="C318" s="134" t="str">
        <f>if(A318="", "", vlookup(A318+0.01, 'SEO Implementation Checklist'!$B:$E, counta('SEO Implementation Checklist'!$B$2:$E$2), true))</f>
        <v/>
      </c>
      <c r="D318" s="135" t="s">
        <v>368</v>
      </c>
      <c r="E318" s="137" t="s">
        <v>369</v>
      </c>
      <c r="F318" s="138"/>
      <c r="G318" s="138"/>
      <c r="H318" s="139"/>
    </row>
    <row r="319" ht="15.75" customHeight="1">
      <c r="A319" s="133"/>
      <c r="B319" s="128"/>
      <c r="C319" s="134" t="str">
        <f>if(A319="", "", vlookup(A319+0.01, 'SEO Implementation Checklist'!$B:$E, counta('SEO Implementation Checklist'!$B$2:$E$2), true))</f>
        <v/>
      </c>
      <c r="D319" s="135" t="s">
        <v>368</v>
      </c>
      <c r="E319" s="137" t="s">
        <v>369</v>
      </c>
      <c r="F319" s="138"/>
      <c r="G319" s="138"/>
      <c r="H319" s="139"/>
    </row>
    <row r="320" ht="15.75" customHeight="1">
      <c r="A320" s="133"/>
      <c r="B320" s="128"/>
      <c r="C320" s="134" t="str">
        <f>if(A320="", "", vlookup(A320+0.01, 'SEO Implementation Checklist'!$B:$E, counta('SEO Implementation Checklist'!$B$2:$E$2), true))</f>
        <v/>
      </c>
      <c r="D320" s="135" t="s">
        <v>368</v>
      </c>
      <c r="E320" s="137" t="s">
        <v>369</v>
      </c>
      <c r="F320" s="138"/>
      <c r="G320" s="138"/>
      <c r="H320" s="139"/>
    </row>
    <row r="321" ht="15.75" customHeight="1">
      <c r="A321" s="133"/>
      <c r="B321" s="128"/>
      <c r="C321" s="134" t="str">
        <f>if(A321="", "", vlookup(A321+0.01, 'SEO Implementation Checklist'!$B:$E, counta('SEO Implementation Checklist'!$B$2:$E$2), true))</f>
        <v/>
      </c>
      <c r="D321" s="135" t="s">
        <v>368</v>
      </c>
      <c r="E321" s="137" t="s">
        <v>369</v>
      </c>
      <c r="F321" s="138"/>
      <c r="G321" s="138"/>
      <c r="H321" s="139"/>
    </row>
    <row r="322" ht="15.75" customHeight="1">
      <c r="A322" s="133"/>
      <c r="B322" s="128"/>
      <c r="C322" s="134" t="str">
        <f>if(A322="", "", vlookup(A322+0.01, 'SEO Implementation Checklist'!$B:$E, counta('SEO Implementation Checklist'!$B$2:$E$2), true))</f>
        <v/>
      </c>
      <c r="D322" s="135" t="s">
        <v>368</v>
      </c>
      <c r="E322" s="137" t="s">
        <v>369</v>
      </c>
      <c r="F322" s="138"/>
      <c r="G322" s="138"/>
      <c r="H322" s="139"/>
    </row>
    <row r="323" ht="15.75" customHeight="1">
      <c r="A323" s="133"/>
      <c r="B323" s="128"/>
      <c r="C323" s="134" t="str">
        <f>if(A323="", "", vlookup(A323+0.01, 'SEO Implementation Checklist'!$B:$E, counta('SEO Implementation Checklist'!$B$2:$E$2), true))</f>
        <v/>
      </c>
      <c r="D323" s="135" t="s">
        <v>368</v>
      </c>
      <c r="E323" s="137" t="s">
        <v>369</v>
      </c>
      <c r="F323" s="138"/>
      <c r="G323" s="138"/>
      <c r="H323" s="139"/>
    </row>
    <row r="324" ht="15.75" customHeight="1">
      <c r="A324" s="133"/>
      <c r="B324" s="128"/>
      <c r="C324" s="134" t="str">
        <f>if(A324="", "", vlookup(A324+0.01, 'SEO Implementation Checklist'!$B:$E, counta('SEO Implementation Checklist'!$B$2:$E$2), true))</f>
        <v/>
      </c>
      <c r="D324" s="135" t="s">
        <v>368</v>
      </c>
      <c r="E324" s="137" t="s">
        <v>369</v>
      </c>
      <c r="F324" s="138"/>
      <c r="G324" s="138"/>
      <c r="H324" s="139"/>
    </row>
    <row r="325" ht="15.75" customHeight="1">
      <c r="A325" s="133"/>
      <c r="B325" s="128"/>
      <c r="C325" s="134" t="str">
        <f>if(A325="", "", vlookup(A325+0.01, 'SEO Implementation Checklist'!$B:$E, counta('SEO Implementation Checklist'!$B$2:$E$2), true))</f>
        <v/>
      </c>
      <c r="D325" s="135" t="s">
        <v>368</v>
      </c>
      <c r="E325" s="137" t="s">
        <v>369</v>
      </c>
      <c r="F325" s="138"/>
      <c r="G325" s="138"/>
      <c r="H325" s="139"/>
    </row>
    <row r="326" ht="15.75" customHeight="1">
      <c r="A326" s="133"/>
      <c r="B326" s="128"/>
      <c r="C326" s="134" t="str">
        <f>if(A326="", "", vlookup(A326+0.01, 'SEO Implementation Checklist'!$B:$E, counta('SEO Implementation Checklist'!$B$2:$E$2), true))</f>
        <v/>
      </c>
      <c r="D326" s="135" t="s">
        <v>368</v>
      </c>
      <c r="E326" s="137" t="s">
        <v>369</v>
      </c>
      <c r="F326" s="138"/>
      <c r="G326" s="138"/>
      <c r="H326" s="139"/>
    </row>
    <row r="327" ht="15.75" customHeight="1">
      <c r="A327" s="133"/>
      <c r="B327" s="128"/>
      <c r="C327" s="134" t="str">
        <f>if(A327="", "", vlookup(A327+0.01, 'SEO Implementation Checklist'!$B:$E, counta('SEO Implementation Checklist'!$B$2:$E$2), true))</f>
        <v/>
      </c>
      <c r="D327" s="135" t="s">
        <v>368</v>
      </c>
      <c r="E327" s="137" t="s">
        <v>369</v>
      </c>
      <c r="F327" s="138"/>
      <c r="G327" s="138"/>
      <c r="H327" s="139"/>
    </row>
    <row r="328" ht="15.75" customHeight="1">
      <c r="A328" s="133"/>
      <c r="B328" s="128"/>
      <c r="C328" s="134" t="str">
        <f>if(A328="", "", vlookup(A328+0.01, 'SEO Implementation Checklist'!$B:$E, counta('SEO Implementation Checklist'!$B$2:$E$2), true))</f>
        <v/>
      </c>
      <c r="D328" s="135" t="s">
        <v>368</v>
      </c>
      <c r="E328" s="137" t="s">
        <v>369</v>
      </c>
      <c r="F328" s="138"/>
      <c r="G328" s="138"/>
      <c r="H328" s="139"/>
    </row>
    <row r="329" ht="15.75" customHeight="1">
      <c r="A329" s="133"/>
      <c r="B329" s="128"/>
      <c r="C329" s="134" t="str">
        <f>if(A329="", "", vlookup(A329+0.01, 'SEO Implementation Checklist'!$B:$E, counta('SEO Implementation Checklist'!$B$2:$E$2), true))</f>
        <v/>
      </c>
      <c r="D329" s="135" t="s">
        <v>368</v>
      </c>
      <c r="E329" s="137" t="s">
        <v>369</v>
      </c>
      <c r="F329" s="138"/>
      <c r="G329" s="138"/>
      <c r="H329" s="139"/>
    </row>
    <row r="330" ht="15.75" customHeight="1">
      <c r="A330" s="133"/>
      <c r="B330" s="128"/>
      <c r="C330" s="134" t="str">
        <f>if(A330="", "", vlookup(A330+0.01, 'SEO Implementation Checklist'!$B:$E, counta('SEO Implementation Checklist'!$B$2:$E$2), true))</f>
        <v/>
      </c>
      <c r="D330" s="135" t="s">
        <v>368</v>
      </c>
      <c r="E330" s="137" t="s">
        <v>369</v>
      </c>
      <c r="F330" s="138"/>
      <c r="G330" s="138"/>
      <c r="H330" s="139"/>
    </row>
    <row r="331" ht="15.75" customHeight="1">
      <c r="A331" s="133"/>
      <c r="B331" s="128"/>
      <c r="C331" s="134" t="str">
        <f>if(A331="", "", vlookup(A331+0.01, 'SEO Implementation Checklist'!$B:$E, counta('SEO Implementation Checklist'!$B$2:$E$2), true))</f>
        <v/>
      </c>
      <c r="D331" s="135" t="s">
        <v>368</v>
      </c>
      <c r="E331" s="137" t="s">
        <v>369</v>
      </c>
      <c r="F331" s="138"/>
      <c r="G331" s="138"/>
      <c r="H331" s="139"/>
    </row>
    <row r="332" ht="15.75" customHeight="1">
      <c r="A332" s="133"/>
      <c r="B332" s="128"/>
      <c r="C332" s="134" t="str">
        <f>if(A332="", "", vlookup(A332+0.01, 'SEO Implementation Checklist'!$B:$E, counta('SEO Implementation Checklist'!$B$2:$E$2), true))</f>
        <v/>
      </c>
      <c r="D332" s="135" t="s">
        <v>368</v>
      </c>
      <c r="E332" s="137" t="s">
        <v>369</v>
      </c>
      <c r="F332" s="138"/>
      <c r="G332" s="138"/>
      <c r="H332" s="139"/>
    </row>
    <row r="333" ht="15.75" customHeight="1">
      <c r="A333" s="133"/>
      <c r="B333" s="128"/>
      <c r="C333" s="134" t="str">
        <f>if(A333="", "", vlookup(A333+0.01, 'SEO Implementation Checklist'!$B:$E, counta('SEO Implementation Checklist'!$B$2:$E$2), true))</f>
        <v/>
      </c>
      <c r="D333" s="135" t="s">
        <v>368</v>
      </c>
      <c r="E333" s="137" t="s">
        <v>369</v>
      </c>
      <c r="F333" s="138"/>
      <c r="G333" s="138"/>
      <c r="H333" s="139"/>
    </row>
    <row r="334" ht="15.75" customHeight="1">
      <c r="A334" s="133"/>
      <c r="B334" s="128"/>
      <c r="C334" s="134" t="str">
        <f>if(A334="", "", vlookup(A334+0.01, 'SEO Implementation Checklist'!$B:$E, counta('SEO Implementation Checklist'!$B$2:$E$2), true))</f>
        <v/>
      </c>
      <c r="D334" s="135" t="s">
        <v>368</v>
      </c>
      <c r="E334" s="137" t="s">
        <v>369</v>
      </c>
      <c r="F334" s="138"/>
      <c r="G334" s="138"/>
      <c r="H334" s="139"/>
    </row>
    <row r="335" ht="15.75" customHeight="1">
      <c r="A335" s="133"/>
      <c r="B335" s="128"/>
      <c r="C335" s="134" t="str">
        <f>if(A335="", "", vlookup(A335+0.01, 'SEO Implementation Checklist'!$B:$E, counta('SEO Implementation Checklist'!$B$2:$E$2), true))</f>
        <v/>
      </c>
      <c r="D335" s="135" t="s">
        <v>368</v>
      </c>
      <c r="E335" s="137" t="s">
        <v>369</v>
      </c>
      <c r="F335" s="138"/>
      <c r="G335" s="138"/>
      <c r="H335" s="139"/>
    </row>
    <row r="336" ht="15.75" customHeight="1">
      <c r="A336" s="133"/>
      <c r="B336" s="128"/>
      <c r="C336" s="134" t="str">
        <f>if(A336="", "", vlookup(A336+0.01, 'SEO Implementation Checklist'!$B:$E, counta('SEO Implementation Checklist'!$B$2:$E$2), true))</f>
        <v/>
      </c>
      <c r="D336" s="135" t="s">
        <v>368</v>
      </c>
      <c r="E336" s="137" t="s">
        <v>369</v>
      </c>
      <c r="F336" s="138"/>
      <c r="G336" s="138"/>
      <c r="H336" s="139"/>
    </row>
    <row r="337" ht="15.75" customHeight="1">
      <c r="A337" s="133"/>
      <c r="B337" s="128"/>
      <c r="C337" s="134" t="str">
        <f>if(A337="", "", vlookup(A337+0.01, 'SEO Implementation Checklist'!$B:$E, counta('SEO Implementation Checklist'!$B$2:$E$2), true))</f>
        <v/>
      </c>
      <c r="D337" s="135" t="s">
        <v>368</v>
      </c>
      <c r="E337" s="137" t="s">
        <v>369</v>
      </c>
      <c r="F337" s="138"/>
      <c r="G337" s="138"/>
      <c r="H337" s="139"/>
    </row>
    <row r="338" ht="15.75" customHeight="1">
      <c r="A338" s="133"/>
      <c r="B338" s="128"/>
      <c r="C338" s="134" t="str">
        <f>if(A338="", "", vlookup(A338+0.01, 'SEO Implementation Checklist'!$B:$E, counta('SEO Implementation Checklist'!$B$2:$E$2), true))</f>
        <v/>
      </c>
      <c r="D338" s="135" t="s">
        <v>368</v>
      </c>
      <c r="E338" s="137" t="s">
        <v>369</v>
      </c>
      <c r="F338" s="138"/>
      <c r="G338" s="138"/>
      <c r="H338" s="139"/>
    </row>
    <row r="339" ht="15.75" customHeight="1">
      <c r="A339" s="133"/>
      <c r="B339" s="128"/>
      <c r="C339" s="134" t="str">
        <f>if(A339="", "", vlookup(A339+0.01, 'SEO Implementation Checklist'!$B:$E, counta('SEO Implementation Checklist'!$B$2:$E$2), true))</f>
        <v/>
      </c>
      <c r="D339" s="135" t="s">
        <v>368</v>
      </c>
      <c r="E339" s="137" t="s">
        <v>369</v>
      </c>
      <c r="F339" s="138"/>
      <c r="G339" s="138"/>
      <c r="H339" s="139"/>
    </row>
    <row r="340" ht="15.75" customHeight="1">
      <c r="A340" s="133"/>
      <c r="B340" s="128"/>
      <c r="C340" s="134" t="str">
        <f>if(A340="", "", vlookup(A340+0.01, 'SEO Implementation Checklist'!$B:$E, counta('SEO Implementation Checklist'!$B$2:$E$2), true))</f>
        <v/>
      </c>
      <c r="D340" s="135" t="s">
        <v>368</v>
      </c>
      <c r="E340" s="137" t="s">
        <v>369</v>
      </c>
      <c r="F340" s="138"/>
      <c r="G340" s="138"/>
      <c r="H340" s="139"/>
    </row>
    <row r="341" ht="15.75" customHeight="1">
      <c r="A341" s="133"/>
      <c r="B341" s="128"/>
      <c r="C341" s="134" t="str">
        <f>if(A341="", "", vlookup(A341+0.01, 'SEO Implementation Checklist'!$B:$E, counta('SEO Implementation Checklist'!$B$2:$E$2), true))</f>
        <v/>
      </c>
      <c r="D341" s="135" t="s">
        <v>368</v>
      </c>
      <c r="E341" s="137" t="s">
        <v>369</v>
      </c>
      <c r="F341" s="138"/>
      <c r="G341" s="138"/>
      <c r="H341" s="139"/>
    </row>
    <row r="342" ht="15.75" customHeight="1">
      <c r="A342" s="133"/>
      <c r="B342" s="128"/>
      <c r="C342" s="134" t="str">
        <f>if(A342="", "", vlookup(A342+0.01, 'SEO Implementation Checklist'!$B:$E, counta('SEO Implementation Checklist'!$B$2:$E$2), true))</f>
        <v/>
      </c>
      <c r="D342" s="135" t="s">
        <v>368</v>
      </c>
      <c r="E342" s="137" t="s">
        <v>369</v>
      </c>
      <c r="F342" s="138"/>
      <c r="G342" s="138"/>
      <c r="H342" s="139"/>
    </row>
    <row r="343" ht="15.75" customHeight="1">
      <c r="A343" s="133"/>
      <c r="B343" s="128"/>
      <c r="C343" s="134" t="str">
        <f>if(A343="", "", vlookup(A343+0.01, 'SEO Implementation Checklist'!$B:$E, counta('SEO Implementation Checklist'!$B$2:$E$2), true))</f>
        <v/>
      </c>
      <c r="D343" s="135" t="s">
        <v>368</v>
      </c>
      <c r="E343" s="137" t="s">
        <v>369</v>
      </c>
      <c r="F343" s="138"/>
      <c r="G343" s="138"/>
      <c r="H343" s="139"/>
    </row>
    <row r="344" ht="15.75" customHeight="1">
      <c r="A344" s="133"/>
      <c r="B344" s="128"/>
      <c r="C344" s="134" t="str">
        <f>if(A344="", "", vlookup(A344+0.01, 'SEO Implementation Checklist'!$B:$E, counta('SEO Implementation Checklist'!$B$2:$E$2), true))</f>
        <v/>
      </c>
      <c r="D344" s="135" t="s">
        <v>368</v>
      </c>
      <c r="E344" s="137" t="s">
        <v>369</v>
      </c>
      <c r="F344" s="138"/>
      <c r="G344" s="138"/>
      <c r="H344" s="139"/>
    </row>
    <row r="345" ht="15.75" customHeight="1">
      <c r="A345" s="133"/>
      <c r="B345" s="128"/>
      <c r="C345" s="134" t="str">
        <f>if(A345="", "", vlookup(A345+0.01, 'SEO Implementation Checklist'!$B:$E, counta('SEO Implementation Checklist'!$B$2:$E$2), true))</f>
        <v/>
      </c>
      <c r="D345" s="135" t="s">
        <v>368</v>
      </c>
      <c r="E345" s="137" t="s">
        <v>369</v>
      </c>
      <c r="F345" s="138"/>
      <c r="G345" s="138"/>
      <c r="H345" s="139"/>
    </row>
    <row r="346" ht="15.75" customHeight="1">
      <c r="A346" s="133"/>
      <c r="B346" s="128"/>
      <c r="C346" s="134" t="str">
        <f>if(A346="", "", vlookup(A346+0.01, 'SEO Implementation Checklist'!$B:$E, counta('SEO Implementation Checklist'!$B$2:$E$2), true))</f>
        <v/>
      </c>
      <c r="D346" s="135" t="s">
        <v>368</v>
      </c>
      <c r="E346" s="137" t="s">
        <v>369</v>
      </c>
      <c r="F346" s="138"/>
      <c r="G346" s="138"/>
      <c r="H346" s="139"/>
    </row>
    <row r="347" ht="15.75" customHeight="1">
      <c r="A347" s="133"/>
      <c r="B347" s="128"/>
      <c r="C347" s="134" t="str">
        <f>if(A347="", "", vlookup(A347+0.01, 'SEO Implementation Checklist'!$B:$E, counta('SEO Implementation Checklist'!$B$2:$E$2), true))</f>
        <v/>
      </c>
      <c r="D347" s="135" t="s">
        <v>368</v>
      </c>
      <c r="E347" s="137" t="s">
        <v>369</v>
      </c>
      <c r="F347" s="138"/>
      <c r="G347" s="138"/>
      <c r="H347" s="139"/>
    </row>
    <row r="348" ht="15.75" customHeight="1">
      <c r="A348" s="133"/>
      <c r="B348" s="128"/>
      <c r="C348" s="134" t="str">
        <f>if(A348="", "", vlookup(A348+0.01, 'SEO Implementation Checklist'!$B:$E, counta('SEO Implementation Checklist'!$B$2:$E$2), true))</f>
        <v/>
      </c>
      <c r="D348" s="135" t="s">
        <v>368</v>
      </c>
      <c r="E348" s="137" t="s">
        <v>369</v>
      </c>
      <c r="F348" s="138"/>
      <c r="G348" s="138"/>
      <c r="H348" s="139"/>
    </row>
    <row r="349" ht="15.75" customHeight="1">
      <c r="A349" s="133"/>
      <c r="B349" s="128"/>
      <c r="C349" s="134" t="str">
        <f>if(A349="", "", vlookup(A349+0.01, 'SEO Implementation Checklist'!$B:$E, counta('SEO Implementation Checklist'!$B$2:$E$2), true))</f>
        <v/>
      </c>
      <c r="D349" s="135" t="s">
        <v>368</v>
      </c>
      <c r="E349" s="137" t="s">
        <v>369</v>
      </c>
      <c r="F349" s="138"/>
      <c r="G349" s="138"/>
      <c r="H349" s="139"/>
    </row>
    <row r="350" ht="15.75" customHeight="1">
      <c r="A350" s="133"/>
      <c r="B350" s="128"/>
      <c r="C350" s="134" t="str">
        <f>if(A350="", "", vlookup(A350+0.01, 'SEO Implementation Checklist'!$B:$E, counta('SEO Implementation Checklist'!$B$2:$E$2), true))</f>
        <v/>
      </c>
      <c r="D350" s="135" t="s">
        <v>368</v>
      </c>
      <c r="E350" s="137" t="s">
        <v>369</v>
      </c>
      <c r="F350" s="138"/>
      <c r="G350" s="138"/>
      <c r="H350" s="139"/>
    </row>
    <row r="351" ht="15.75" customHeight="1">
      <c r="A351" s="133"/>
      <c r="B351" s="128"/>
      <c r="C351" s="134" t="str">
        <f>if(A351="", "", vlookup(A351+0.01, 'SEO Implementation Checklist'!$B:$E, counta('SEO Implementation Checklist'!$B$2:$E$2), true))</f>
        <v/>
      </c>
      <c r="D351" s="135" t="s">
        <v>368</v>
      </c>
      <c r="E351" s="137" t="s">
        <v>369</v>
      </c>
      <c r="F351" s="138"/>
      <c r="G351" s="138"/>
      <c r="H351" s="139"/>
    </row>
    <row r="352" ht="15.75" customHeight="1">
      <c r="A352" s="133"/>
      <c r="B352" s="128"/>
      <c r="C352" s="134" t="str">
        <f>if(A352="", "", vlookup(A352+0.01, 'SEO Implementation Checklist'!$B:$E, counta('SEO Implementation Checklist'!$B$2:$E$2), true))</f>
        <v/>
      </c>
      <c r="D352" s="135" t="s">
        <v>368</v>
      </c>
      <c r="E352" s="137" t="s">
        <v>369</v>
      </c>
      <c r="F352" s="138"/>
      <c r="G352" s="138"/>
      <c r="H352" s="139"/>
    </row>
    <row r="353" ht="15.75" customHeight="1">
      <c r="A353" s="133"/>
      <c r="B353" s="128"/>
      <c r="C353" s="134" t="str">
        <f>if(A353="", "", vlookup(A353+0.01, 'SEO Implementation Checklist'!$B:$E, counta('SEO Implementation Checklist'!$B$2:$E$2), true))</f>
        <v/>
      </c>
      <c r="D353" s="135" t="s">
        <v>368</v>
      </c>
      <c r="E353" s="137" t="s">
        <v>369</v>
      </c>
      <c r="F353" s="138"/>
      <c r="G353" s="138"/>
      <c r="H353" s="139"/>
    </row>
    <row r="354" ht="15.75" customHeight="1">
      <c r="A354" s="133"/>
      <c r="B354" s="128"/>
      <c r="C354" s="134" t="str">
        <f>if(A354="", "", vlookup(A354+0.01, 'SEO Implementation Checklist'!$B:$E, counta('SEO Implementation Checklist'!$B$2:$E$2), true))</f>
        <v/>
      </c>
      <c r="D354" s="135" t="s">
        <v>368</v>
      </c>
      <c r="E354" s="137" t="s">
        <v>369</v>
      </c>
      <c r="F354" s="138"/>
      <c r="G354" s="138"/>
      <c r="H354" s="139"/>
    </row>
    <row r="355" ht="15.75" customHeight="1">
      <c r="A355" s="133"/>
      <c r="B355" s="128"/>
      <c r="C355" s="134" t="str">
        <f>if(A355="", "", vlookup(A355+0.01, 'SEO Implementation Checklist'!$B:$E, counta('SEO Implementation Checklist'!$B$2:$E$2), true))</f>
        <v/>
      </c>
      <c r="D355" s="135" t="s">
        <v>368</v>
      </c>
      <c r="E355" s="137" t="s">
        <v>369</v>
      </c>
      <c r="F355" s="138"/>
      <c r="G355" s="138"/>
      <c r="H355" s="139"/>
    </row>
    <row r="356" ht="15.75" customHeight="1">
      <c r="A356" s="133"/>
      <c r="B356" s="128"/>
      <c r="C356" s="134" t="str">
        <f>if(A356="", "", vlookup(A356+0.01, 'SEO Implementation Checklist'!$B:$E, counta('SEO Implementation Checklist'!$B$2:$E$2), true))</f>
        <v/>
      </c>
      <c r="D356" s="135" t="s">
        <v>368</v>
      </c>
      <c r="E356" s="137" t="s">
        <v>369</v>
      </c>
      <c r="F356" s="138"/>
      <c r="G356" s="138"/>
      <c r="H356" s="139"/>
    </row>
    <row r="357" ht="15.75" customHeight="1">
      <c r="A357" s="133"/>
      <c r="B357" s="128"/>
      <c r="C357" s="134" t="str">
        <f>if(A357="", "", vlookup(A357+0.01, 'SEO Implementation Checklist'!$B:$E, counta('SEO Implementation Checklist'!$B$2:$E$2), true))</f>
        <v/>
      </c>
      <c r="D357" s="135" t="s">
        <v>368</v>
      </c>
      <c r="E357" s="137" t="s">
        <v>369</v>
      </c>
      <c r="F357" s="138"/>
      <c r="G357" s="138"/>
      <c r="H357" s="139"/>
    </row>
    <row r="358" ht="15.75" customHeight="1">
      <c r="A358" s="133"/>
      <c r="B358" s="128"/>
      <c r="C358" s="134" t="str">
        <f>if(A358="", "", vlookup(A358+0.01, 'SEO Implementation Checklist'!$B:$E, counta('SEO Implementation Checklist'!$B$2:$E$2), true))</f>
        <v/>
      </c>
      <c r="D358" s="135" t="s">
        <v>368</v>
      </c>
      <c r="E358" s="137" t="s">
        <v>369</v>
      </c>
      <c r="F358" s="138"/>
      <c r="G358" s="138"/>
      <c r="H358" s="139"/>
    </row>
    <row r="359" ht="15.75" customHeight="1">
      <c r="A359" s="133"/>
      <c r="B359" s="128"/>
      <c r="C359" s="134" t="str">
        <f>if(A359="", "", vlookup(A359+0.01, 'SEO Implementation Checklist'!$B:$E, counta('SEO Implementation Checklist'!$B$2:$E$2), true))</f>
        <v/>
      </c>
      <c r="D359" s="135" t="s">
        <v>368</v>
      </c>
      <c r="E359" s="137" t="s">
        <v>369</v>
      </c>
      <c r="F359" s="138"/>
      <c r="G359" s="138"/>
      <c r="H359" s="139"/>
    </row>
    <row r="360" ht="15.75" customHeight="1">
      <c r="A360" s="133"/>
      <c r="B360" s="128"/>
      <c r="C360" s="134" t="str">
        <f>if(A360="", "", vlookup(A360+0.01, 'SEO Implementation Checklist'!$B:$E, counta('SEO Implementation Checklist'!$B$2:$E$2), true))</f>
        <v/>
      </c>
      <c r="D360" s="135" t="s">
        <v>368</v>
      </c>
      <c r="E360" s="137" t="s">
        <v>369</v>
      </c>
      <c r="F360" s="138"/>
      <c r="G360" s="138"/>
      <c r="H360" s="139"/>
    </row>
    <row r="361" ht="15.75" customHeight="1">
      <c r="A361" s="133"/>
      <c r="B361" s="128"/>
      <c r="C361" s="134" t="str">
        <f>if(A361="", "", vlookup(A361+0.01, 'SEO Implementation Checklist'!$B:$E, counta('SEO Implementation Checklist'!$B$2:$E$2), true))</f>
        <v/>
      </c>
      <c r="D361" s="135" t="s">
        <v>368</v>
      </c>
      <c r="E361" s="137" t="s">
        <v>369</v>
      </c>
      <c r="F361" s="138"/>
      <c r="G361" s="138"/>
      <c r="H361" s="139"/>
    </row>
    <row r="362" ht="15.75" customHeight="1">
      <c r="A362" s="133"/>
      <c r="B362" s="128"/>
      <c r="C362" s="134" t="str">
        <f>if(A362="", "", vlookup(A362+0.01, 'SEO Implementation Checklist'!$B:$E, counta('SEO Implementation Checklist'!$B$2:$E$2), true))</f>
        <v/>
      </c>
      <c r="D362" s="135" t="s">
        <v>368</v>
      </c>
      <c r="E362" s="137" t="s">
        <v>369</v>
      </c>
      <c r="F362" s="138"/>
      <c r="G362" s="138"/>
      <c r="H362" s="139"/>
    </row>
    <row r="363" ht="15.75" customHeight="1">
      <c r="A363" s="133"/>
      <c r="B363" s="128"/>
      <c r="C363" s="134" t="str">
        <f>if(A363="", "", vlookup(A363+0.01, 'SEO Implementation Checklist'!$B:$E, counta('SEO Implementation Checklist'!$B$2:$E$2), true))</f>
        <v/>
      </c>
      <c r="D363" s="135" t="s">
        <v>368</v>
      </c>
      <c r="E363" s="137" t="s">
        <v>369</v>
      </c>
      <c r="F363" s="138"/>
      <c r="G363" s="138"/>
      <c r="H363" s="139"/>
    </row>
    <row r="364" ht="15.75" customHeight="1">
      <c r="A364" s="133"/>
      <c r="B364" s="128"/>
      <c r="C364" s="134" t="str">
        <f>if(A364="", "", vlookup(A364+0.01, 'SEO Implementation Checklist'!$B:$E, counta('SEO Implementation Checklist'!$B$2:$E$2), true))</f>
        <v/>
      </c>
      <c r="D364" s="135" t="s">
        <v>368</v>
      </c>
      <c r="E364" s="137" t="s">
        <v>369</v>
      </c>
      <c r="F364" s="138"/>
      <c r="G364" s="138"/>
      <c r="H364" s="139"/>
    </row>
    <row r="365" ht="15.75" customHeight="1">
      <c r="A365" s="133"/>
      <c r="B365" s="128"/>
      <c r="C365" s="134" t="str">
        <f>if(A365="", "", vlookup(A365+0.01, 'SEO Implementation Checklist'!$B:$E, counta('SEO Implementation Checklist'!$B$2:$E$2), true))</f>
        <v/>
      </c>
      <c r="D365" s="135" t="s">
        <v>368</v>
      </c>
      <c r="E365" s="137" t="s">
        <v>369</v>
      </c>
      <c r="F365" s="138"/>
      <c r="G365" s="138"/>
      <c r="H365" s="139"/>
    </row>
    <row r="366" ht="15.75" customHeight="1">
      <c r="A366" s="133"/>
      <c r="B366" s="128"/>
      <c r="C366" s="134" t="str">
        <f>if(A366="", "", vlookup(A366+0.01, 'SEO Implementation Checklist'!$B:$E, counta('SEO Implementation Checklist'!$B$2:$E$2), true))</f>
        <v/>
      </c>
      <c r="D366" s="135" t="s">
        <v>368</v>
      </c>
      <c r="E366" s="137" t="s">
        <v>369</v>
      </c>
      <c r="F366" s="138"/>
      <c r="G366" s="138"/>
      <c r="H366" s="139"/>
    </row>
    <row r="367" ht="15.75" customHeight="1">
      <c r="A367" s="133"/>
      <c r="B367" s="128"/>
      <c r="C367" s="134" t="str">
        <f>if(A367="", "", vlookup(A367+0.01, 'SEO Implementation Checklist'!$B:$E, counta('SEO Implementation Checklist'!$B$2:$E$2), true))</f>
        <v/>
      </c>
      <c r="D367" s="135" t="s">
        <v>368</v>
      </c>
      <c r="E367" s="137" t="s">
        <v>369</v>
      </c>
      <c r="F367" s="138"/>
      <c r="G367" s="138"/>
      <c r="H367" s="139"/>
    </row>
    <row r="368" ht="15.75" customHeight="1">
      <c r="A368" s="133"/>
      <c r="B368" s="128"/>
      <c r="C368" s="134" t="str">
        <f>if(A368="", "", vlookup(A368+0.01, 'SEO Implementation Checklist'!$B:$E, counta('SEO Implementation Checklist'!$B$2:$E$2), true))</f>
        <v/>
      </c>
      <c r="D368" s="135" t="s">
        <v>368</v>
      </c>
      <c r="E368" s="137" t="s">
        <v>369</v>
      </c>
      <c r="F368" s="138"/>
      <c r="G368" s="138"/>
      <c r="H368" s="139"/>
    </row>
    <row r="369" ht="15.75" customHeight="1">
      <c r="A369" s="133"/>
      <c r="B369" s="128"/>
      <c r="C369" s="134" t="str">
        <f>if(A369="", "", vlookup(A369+0.01, 'SEO Implementation Checklist'!$B:$E, counta('SEO Implementation Checklist'!$B$2:$E$2), true))</f>
        <v/>
      </c>
      <c r="D369" s="135" t="s">
        <v>368</v>
      </c>
      <c r="E369" s="137" t="s">
        <v>369</v>
      </c>
      <c r="F369" s="138"/>
      <c r="G369" s="138"/>
      <c r="H369" s="139"/>
    </row>
    <row r="370" ht="15.75" customHeight="1">
      <c r="A370" s="133"/>
      <c r="B370" s="128"/>
      <c r="C370" s="134" t="str">
        <f>if(A370="", "", vlookup(A370+0.01, 'SEO Implementation Checklist'!$B:$E, counta('SEO Implementation Checklist'!$B$2:$E$2), true))</f>
        <v/>
      </c>
      <c r="D370" s="135" t="s">
        <v>368</v>
      </c>
      <c r="E370" s="137" t="s">
        <v>369</v>
      </c>
      <c r="F370" s="138"/>
      <c r="G370" s="138"/>
      <c r="H370" s="139"/>
    </row>
    <row r="371" ht="15.75" customHeight="1">
      <c r="A371" s="133"/>
      <c r="B371" s="128"/>
      <c r="C371" s="134" t="str">
        <f>if(A371="", "", vlookup(A371+0.01, 'SEO Implementation Checklist'!$B:$E, counta('SEO Implementation Checklist'!$B$2:$E$2), true))</f>
        <v/>
      </c>
      <c r="D371" s="135" t="s">
        <v>368</v>
      </c>
      <c r="E371" s="137" t="s">
        <v>369</v>
      </c>
      <c r="F371" s="138"/>
      <c r="G371" s="138"/>
      <c r="H371" s="139"/>
    </row>
    <row r="372" ht="15.75" customHeight="1">
      <c r="A372" s="133"/>
      <c r="B372" s="128"/>
      <c r="C372" s="134" t="str">
        <f>if(A372="", "", vlookup(A372+0.01, 'SEO Implementation Checklist'!$B:$E, counta('SEO Implementation Checklist'!$B$2:$E$2), true))</f>
        <v/>
      </c>
      <c r="D372" s="135" t="s">
        <v>368</v>
      </c>
      <c r="E372" s="137" t="s">
        <v>369</v>
      </c>
      <c r="F372" s="138"/>
      <c r="G372" s="138"/>
      <c r="H372" s="139"/>
    </row>
    <row r="373" ht="15.75" customHeight="1">
      <c r="A373" s="133"/>
      <c r="B373" s="128"/>
      <c r="C373" s="134" t="str">
        <f>if(A373="", "", vlookup(A373+0.01, 'SEO Implementation Checklist'!$B:$E, counta('SEO Implementation Checklist'!$B$2:$E$2), true))</f>
        <v/>
      </c>
      <c r="D373" s="135" t="s">
        <v>368</v>
      </c>
      <c r="E373" s="137" t="s">
        <v>369</v>
      </c>
      <c r="F373" s="138"/>
      <c r="G373" s="138"/>
      <c r="H373" s="139"/>
    </row>
    <row r="374" ht="15.75" customHeight="1">
      <c r="A374" s="133"/>
      <c r="B374" s="128"/>
      <c r="C374" s="134" t="str">
        <f>if(A374="", "", vlookup(A374+0.01, 'SEO Implementation Checklist'!$B:$E, counta('SEO Implementation Checklist'!$B$2:$E$2), true))</f>
        <v/>
      </c>
      <c r="D374" s="135" t="s">
        <v>368</v>
      </c>
      <c r="E374" s="137" t="s">
        <v>369</v>
      </c>
      <c r="F374" s="138"/>
      <c r="G374" s="138"/>
      <c r="H374" s="139"/>
    </row>
    <row r="375" ht="15.75" customHeight="1">
      <c r="A375" s="133"/>
      <c r="B375" s="128"/>
      <c r="C375" s="134" t="str">
        <f>if(A375="", "", vlookup(A375+0.01, 'SEO Implementation Checklist'!$B:$E, counta('SEO Implementation Checklist'!$B$2:$E$2), true))</f>
        <v/>
      </c>
      <c r="D375" s="135" t="s">
        <v>368</v>
      </c>
      <c r="E375" s="137" t="s">
        <v>369</v>
      </c>
      <c r="F375" s="138"/>
      <c r="G375" s="138"/>
      <c r="H375" s="139"/>
    </row>
    <row r="376" ht="15.75" customHeight="1">
      <c r="A376" s="133"/>
      <c r="B376" s="128"/>
      <c r="C376" s="134" t="str">
        <f>if(A376="", "", vlookup(A376+0.01, 'SEO Implementation Checklist'!$B:$E, counta('SEO Implementation Checklist'!$B$2:$E$2), true))</f>
        <v/>
      </c>
      <c r="D376" s="135" t="s">
        <v>368</v>
      </c>
      <c r="E376" s="137" t="s">
        <v>369</v>
      </c>
      <c r="F376" s="138"/>
      <c r="G376" s="138"/>
      <c r="H376" s="139"/>
    </row>
    <row r="377" ht="15.75" customHeight="1">
      <c r="A377" s="133"/>
      <c r="B377" s="128"/>
      <c r="C377" s="134" t="str">
        <f>if(A377="", "", vlookup(A377+0.01, 'SEO Implementation Checklist'!$B:$E, counta('SEO Implementation Checklist'!$B$2:$E$2), true))</f>
        <v/>
      </c>
      <c r="D377" s="135" t="s">
        <v>368</v>
      </c>
      <c r="E377" s="137" t="s">
        <v>369</v>
      </c>
      <c r="F377" s="138"/>
      <c r="G377" s="138"/>
      <c r="H377" s="139"/>
    </row>
    <row r="378" ht="15.75" customHeight="1">
      <c r="A378" s="133"/>
      <c r="B378" s="128"/>
      <c r="C378" s="134" t="str">
        <f>if(A378="", "", vlookup(A378+0.01, 'SEO Implementation Checklist'!$B:$E, counta('SEO Implementation Checklist'!$B$2:$E$2), true))</f>
        <v/>
      </c>
      <c r="D378" s="135" t="s">
        <v>368</v>
      </c>
      <c r="E378" s="137" t="s">
        <v>369</v>
      </c>
      <c r="F378" s="138"/>
      <c r="G378" s="138"/>
      <c r="H378" s="139"/>
    </row>
    <row r="379" ht="15.75" customHeight="1">
      <c r="A379" s="133"/>
      <c r="B379" s="128"/>
      <c r="C379" s="134" t="str">
        <f>if(A379="", "", vlookup(A379+0.01, 'SEO Implementation Checklist'!$B:$E, counta('SEO Implementation Checklist'!$B$2:$E$2), true))</f>
        <v/>
      </c>
      <c r="D379" s="135" t="s">
        <v>368</v>
      </c>
      <c r="E379" s="137" t="s">
        <v>369</v>
      </c>
      <c r="F379" s="138"/>
      <c r="G379" s="138"/>
      <c r="H379" s="139"/>
    </row>
    <row r="380" ht="15.75" customHeight="1">
      <c r="A380" s="133"/>
      <c r="B380" s="128"/>
      <c r="C380" s="134" t="str">
        <f>if(A380="", "", vlookup(A380+0.01, 'SEO Implementation Checklist'!$B:$E, counta('SEO Implementation Checklist'!$B$2:$E$2), true))</f>
        <v/>
      </c>
      <c r="D380" s="135" t="s">
        <v>368</v>
      </c>
      <c r="E380" s="137" t="s">
        <v>369</v>
      </c>
      <c r="F380" s="138"/>
      <c r="G380" s="138"/>
      <c r="H380" s="139"/>
    </row>
    <row r="381" ht="15.75" customHeight="1">
      <c r="A381" s="133"/>
      <c r="B381" s="128"/>
      <c r="C381" s="134" t="str">
        <f>if(A381="", "", vlookup(A381+0.01, 'SEO Implementation Checklist'!$B:$E, counta('SEO Implementation Checklist'!$B$2:$E$2), true))</f>
        <v/>
      </c>
      <c r="D381" s="135" t="s">
        <v>368</v>
      </c>
      <c r="E381" s="137" t="s">
        <v>369</v>
      </c>
      <c r="F381" s="138"/>
      <c r="G381" s="138"/>
      <c r="H381" s="139"/>
    </row>
    <row r="382" ht="15.75" customHeight="1">
      <c r="A382" s="133"/>
      <c r="B382" s="128"/>
      <c r="C382" s="134" t="str">
        <f>if(A382="", "", vlookup(A382+0.01, 'SEO Implementation Checklist'!$B:$E, counta('SEO Implementation Checklist'!$B$2:$E$2), true))</f>
        <v/>
      </c>
      <c r="D382" s="135" t="s">
        <v>368</v>
      </c>
      <c r="E382" s="137" t="s">
        <v>369</v>
      </c>
      <c r="F382" s="138"/>
      <c r="G382" s="138"/>
      <c r="H382" s="139"/>
    </row>
    <row r="383" ht="15.75" customHeight="1">
      <c r="A383" s="133"/>
      <c r="B383" s="128"/>
      <c r="C383" s="134" t="str">
        <f>if(A383="", "", vlookup(A383+0.01, 'SEO Implementation Checklist'!$B:$E, counta('SEO Implementation Checklist'!$B$2:$E$2), true))</f>
        <v/>
      </c>
      <c r="D383" s="135" t="s">
        <v>368</v>
      </c>
      <c r="E383" s="137" t="s">
        <v>369</v>
      </c>
      <c r="F383" s="138"/>
      <c r="G383" s="138"/>
      <c r="H383" s="139"/>
    </row>
    <row r="384" ht="15.75" customHeight="1">
      <c r="A384" s="133"/>
      <c r="B384" s="128"/>
      <c r="C384" s="134" t="str">
        <f>if(A384="", "", vlookup(A384+0.01, 'SEO Implementation Checklist'!$B:$E, counta('SEO Implementation Checklist'!$B$2:$E$2), true))</f>
        <v/>
      </c>
      <c r="D384" s="135" t="s">
        <v>368</v>
      </c>
      <c r="E384" s="137" t="s">
        <v>369</v>
      </c>
      <c r="F384" s="138"/>
      <c r="G384" s="138"/>
      <c r="H384" s="139"/>
    </row>
    <row r="385" ht="15.75" customHeight="1">
      <c r="A385" s="133"/>
      <c r="B385" s="128"/>
      <c r="C385" s="134" t="str">
        <f>if(A385="", "", vlookup(A385+0.01, 'SEO Implementation Checklist'!$B:$E, counta('SEO Implementation Checklist'!$B$2:$E$2), true))</f>
        <v/>
      </c>
      <c r="D385" s="135" t="s">
        <v>368</v>
      </c>
      <c r="E385" s="137" t="s">
        <v>369</v>
      </c>
      <c r="F385" s="138"/>
      <c r="G385" s="138"/>
      <c r="H385" s="139"/>
    </row>
    <row r="386" ht="15.75" customHeight="1">
      <c r="A386" s="133"/>
      <c r="B386" s="128"/>
      <c r="C386" s="134" t="str">
        <f>if(A386="", "", vlookup(A386+0.01, 'SEO Implementation Checklist'!$B:$E, counta('SEO Implementation Checklist'!$B$2:$E$2), true))</f>
        <v/>
      </c>
      <c r="D386" s="135" t="s">
        <v>368</v>
      </c>
      <c r="E386" s="137" t="s">
        <v>369</v>
      </c>
      <c r="F386" s="138"/>
      <c r="G386" s="138"/>
      <c r="H386" s="139"/>
    </row>
    <row r="387" ht="15.75" customHeight="1">
      <c r="A387" s="133"/>
      <c r="B387" s="128"/>
      <c r="C387" s="134" t="str">
        <f>if(A387="", "", vlookup(A387+0.01, 'SEO Implementation Checklist'!$B:$E, counta('SEO Implementation Checklist'!$B$2:$E$2), true))</f>
        <v/>
      </c>
      <c r="D387" s="135" t="s">
        <v>368</v>
      </c>
      <c r="E387" s="137" t="s">
        <v>369</v>
      </c>
      <c r="F387" s="138"/>
      <c r="G387" s="138"/>
      <c r="H387" s="139"/>
    </row>
    <row r="388" ht="15.75" customHeight="1">
      <c r="A388" s="133"/>
      <c r="B388" s="128"/>
      <c r="C388" s="134" t="str">
        <f>if(A388="", "", vlookup(A388+0.01, 'SEO Implementation Checklist'!$B:$E, counta('SEO Implementation Checklist'!$B$2:$E$2), true))</f>
        <v/>
      </c>
      <c r="D388" s="135" t="s">
        <v>368</v>
      </c>
      <c r="E388" s="137" t="s">
        <v>369</v>
      </c>
      <c r="F388" s="138"/>
      <c r="G388" s="138"/>
      <c r="H388" s="139"/>
    </row>
    <row r="389" ht="15.75" customHeight="1">
      <c r="A389" s="133"/>
      <c r="B389" s="128"/>
      <c r="C389" s="134" t="str">
        <f>if(A389="", "", vlookup(A389+0.01, 'SEO Implementation Checklist'!$B:$E, counta('SEO Implementation Checklist'!$B$2:$E$2), true))</f>
        <v/>
      </c>
      <c r="D389" s="135" t="s">
        <v>368</v>
      </c>
      <c r="E389" s="137" t="s">
        <v>369</v>
      </c>
      <c r="F389" s="138"/>
      <c r="G389" s="138"/>
      <c r="H389" s="139"/>
    </row>
    <row r="390" ht="15.75" customHeight="1">
      <c r="A390" s="133"/>
      <c r="B390" s="128"/>
      <c r="C390" s="134" t="str">
        <f>if(A390="", "", vlookup(A390+0.01, 'SEO Implementation Checklist'!$B:$E, counta('SEO Implementation Checklist'!$B$2:$E$2), true))</f>
        <v/>
      </c>
      <c r="D390" s="135" t="s">
        <v>368</v>
      </c>
      <c r="E390" s="137" t="s">
        <v>369</v>
      </c>
      <c r="F390" s="138"/>
      <c r="G390" s="138"/>
      <c r="H390" s="139"/>
    </row>
    <row r="391" ht="15.75" customHeight="1">
      <c r="A391" s="133"/>
      <c r="B391" s="128"/>
      <c r="C391" s="134" t="str">
        <f>if(A391="", "", vlookup(A391+0.01, 'SEO Implementation Checklist'!$B:$E, counta('SEO Implementation Checklist'!$B$2:$E$2), true))</f>
        <v/>
      </c>
      <c r="D391" s="135" t="s">
        <v>368</v>
      </c>
      <c r="E391" s="137" t="s">
        <v>369</v>
      </c>
      <c r="F391" s="138"/>
      <c r="G391" s="138"/>
      <c r="H391" s="139"/>
    </row>
    <row r="392" ht="15.75" customHeight="1">
      <c r="A392" s="133"/>
      <c r="B392" s="128"/>
      <c r="C392" s="134" t="str">
        <f>if(A392="", "", vlookup(A392+0.01, 'SEO Implementation Checklist'!$B:$E, counta('SEO Implementation Checklist'!$B$2:$E$2), true))</f>
        <v/>
      </c>
      <c r="D392" s="135" t="s">
        <v>368</v>
      </c>
      <c r="E392" s="137" t="s">
        <v>369</v>
      </c>
      <c r="F392" s="138"/>
      <c r="G392" s="138"/>
      <c r="H392" s="139"/>
    </row>
    <row r="393" ht="15.75" customHeight="1">
      <c r="A393" s="133"/>
      <c r="B393" s="128"/>
      <c r="C393" s="134" t="str">
        <f>if(A393="", "", vlookup(A393+0.01, 'SEO Implementation Checklist'!$B:$E, counta('SEO Implementation Checklist'!$B$2:$E$2), true))</f>
        <v/>
      </c>
      <c r="D393" s="135" t="s">
        <v>368</v>
      </c>
      <c r="E393" s="137" t="s">
        <v>369</v>
      </c>
      <c r="F393" s="138"/>
      <c r="G393" s="138"/>
      <c r="H393" s="139"/>
    </row>
    <row r="394" ht="15.75" customHeight="1">
      <c r="A394" s="133"/>
      <c r="B394" s="128"/>
      <c r="C394" s="134" t="str">
        <f>if(A394="", "", vlookup(A394+0.01, 'SEO Implementation Checklist'!$B:$E, counta('SEO Implementation Checklist'!$B$2:$E$2), true))</f>
        <v/>
      </c>
      <c r="D394" s="135" t="s">
        <v>368</v>
      </c>
      <c r="E394" s="137" t="s">
        <v>369</v>
      </c>
      <c r="F394" s="138"/>
      <c r="G394" s="138"/>
      <c r="H394" s="139"/>
    </row>
    <row r="395" ht="15.75" customHeight="1">
      <c r="A395" s="133"/>
      <c r="B395" s="128"/>
      <c r="C395" s="134" t="str">
        <f>if(A395="", "", vlookup(A395+0.01, 'SEO Implementation Checklist'!$B:$E, counta('SEO Implementation Checklist'!$B$2:$E$2), true))</f>
        <v/>
      </c>
      <c r="D395" s="135" t="s">
        <v>368</v>
      </c>
      <c r="E395" s="137" t="s">
        <v>369</v>
      </c>
      <c r="F395" s="138"/>
      <c r="G395" s="138"/>
      <c r="H395" s="139"/>
    </row>
    <row r="396" ht="15.75" customHeight="1">
      <c r="A396" s="133"/>
      <c r="B396" s="128"/>
      <c r="C396" s="134" t="str">
        <f>if(A396="", "", vlookup(A396+0.01, 'SEO Implementation Checklist'!$B:$E, counta('SEO Implementation Checklist'!$B$2:$E$2), true))</f>
        <v/>
      </c>
      <c r="D396" s="135" t="s">
        <v>368</v>
      </c>
      <c r="E396" s="137" t="s">
        <v>369</v>
      </c>
      <c r="F396" s="138"/>
      <c r="G396" s="138"/>
      <c r="H396" s="139"/>
    </row>
    <row r="397" ht="15.75" customHeight="1">
      <c r="A397" s="133"/>
      <c r="B397" s="128"/>
      <c r="C397" s="134" t="str">
        <f>if(A397="", "", vlookup(A397+0.01, 'SEO Implementation Checklist'!$B:$E, counta('SEO Implementation Checklist'!$B$2:$E$2), true))</f>
        <v/>
      </c>
      <c r="D397" s="135" t="s">
        <v>368</v>
      </c>
      <c r="E397" s="137" t="s">
        <v>369</v>
      </c>
      <c r="F397" s="138"/>
      <c r="G397" s="138"/>
      <c r="H397" s="139"/>
    </row>
    <row r="398" ht="15.75" customHeight="1">
      <c r="A398" s="133"/>
      <c r="B398" s="128"/>
      <c r="C398" s="134" t="str">
        <f>if(A398="", "", vlookup(A398+0.01, 'SEO Implementation Checklist'!$B:$E, counta('SEO Implementation Checklist'!$B$2:$E$2), true))</f>
        <v/>
      </c>
      <c r="D398" s="135" t="s">
        <v>368</v>
      </c>
      <c r="E398" s="137" t="s">
        <v>369</v>
      </c>
      <c r="F398" s="138"/>
      <c r="G398" s="138"/>
      <c r="H398" s="139"/>
    </row>
    <row r="399" ht="15.75" customHeight="1">
      <c r="A399" s="133"/>
      <c r="B399" s="128"/>
      <c r="C399" s="134" t="str">
        <f>if(A399="", "", vlookup(A399+0.01, 'SEO Implementation Checklist'!$B:$E, counta('SEO Implementation Checklist'!$B$2:$E$2), true))</f>
        <v/>
      </c>
      <c r="D399" s="135" t="s">
        <v>368</v>
      </c>
      <c r="E399" s="137" t="s">
        <v>369</v>
      </c>
      <c r="F399" s="138"/>
      <c r="G399" s="138"/>
      <c r="H399" s="139"/>
    </row>
    <row r="400" ht="15.75" customHeight="1">
      <c r="A400" s="133"/>
      <c r="B400" s="128"/>
      <c r="C400" s="134" t="str">
        <f>if(A400="", "", vlookup(A400+0.01, 'SEO Implementation Checklist'!$B:$E, counta('SEO Implementation Checklist'!$B$2:$E$2), true))</f>
        <v/>
      </c>
      <c r="D400" s="135" t="s">
        <v>368</v>
      </c>
      <c r="E400" s="137" t="s">
        <v>369</v>
      </c>
      <c r="F400" s="138"/>
      <c r="G400" s="138"/>
      <c r="H400" s="139"/>
    </row>
    <row r="401" ht="15.75" customHeight="1">
      <c r="A401" s="133"/>
      <c r="B401" s="128"/>
      <c r="C401" s="134" t="str">
        <f>if(A401="", "", vlookup(A401+0.01, 'SEO Implementation Checklist'!$B:$E, counta('SEO Implementation Checklist'!$B$2:$E$2), true))</f>
        <v/>
      </c>
      <c r="D401" s="135" t="s">
        <v>368</v>
      </c>
      <c r="E401" s="137" t="s">
        <v>369</v>
      </c>
      <c r="F401" s="138"/>
      <c r="G401" s="138"/>
      <c r="H401" s="139"/>
    </row>
    <row r="402" ht="15.75" customHeight="1">
      <c r="A402" s="133"/>
      <c r="B402" s="128"/>
      <c r="C402" s="134" t="str">
        <f>if(A402="", "", vlookup(A402+0.01, 'SEO Implementation Checklist'!$B:$E, counta('SEO Implementation Checklist'!$B$2:$E$2), true))</f>
        <v/>
      </c>
      <c r="D402" s="135" t="s">
        <v>368</v>
      </c>
      <c r="E402" s="137" t="s">
        <v>369</v>
      </c>
      <c r="F402" s="138"/>
      <c r="G402" s="138"/>
      <c r="H402" s="139"/>
    </row>
    <row r="403" ht="15.75" customHeight="1">
      <c r="A403" s="133"/>
      <c r="B403" s="128"/>
      <c r="C403" s="134" t="str">
        <f>if(A403="", "", vlookup(A403+0.01, 'SEO Implementation Checklist'!$B:$E, counta('SEO Implementation Checklist'!$B$2:$E$2), true))</f>
        <v/>
      </c>
      <c r="D403" s="135" t="s">
        <v>368</v>
      </c>
      <c r="E403" s="137" t="s">
        <v>369</v>
      </c>
      <c r="F403" s="138"/>
      <c r="G403" s="138"/>
      <c r="H403" s="139"/>
    </row>
    <row r="404" ht="15.75" customHeight="1">
      <c r="A404" s="133"/>
      <c r="B404" s="128"/>
      <c r="C404" s="134" t="str">
        <f>if(A404="", "", vlookup(A404+0.01, 'SEO Implementation Checklist'!$B:$E, counta('SEO Implementation Checklist'!$B$2:$E$2), true))</f>
        <v/>
      </c>
      <c r="D404" s="135" t="s">
        <v>368</v>
      </c>
      <c r="E404" s="137" t="s">
        <v>369</v>
      </c>
      <c r="F404" s="138"/>
      <c r="G404" s="138"/>
      <c r="H404" s="139"/>
    </row>
    <row r="405" ht="15.75" customHeight="1">
      <c r="A405" s="133"/>
      <c r="B405" s="128"/>
      <c r="C405" s="134" t="str">
        <f>if(A405="", "", vlookup(A405+0.01, 'SEO Implementation Checklist'!$B:$E, counta('SEO Implementation Checklist'!$B$2:$E$2), true))</f>
        <v/>
      </c>
      <c r="D405" s="135" t="s">
        <v>368</v>
      </c>
      <c r="E405" s="137" t="s">
        <v>369</v>
      </c>
      <c r="F405" s="138"/>
      <c r="G405" s="138"/>
      <c r="H405" s="139"/>
    </row>
    <row r="406" ht="15.75" customHeight="1">
      <c r="A406" s="133"/>
      <c r="B406" s="128"/>
      <c r="C406" s="134" t="str">
        <f>if(A406="", "", vlookup(A406+0.01, 'SEO Implementation Checklist'!$B:$E, counta('SEO Implementation Checklist'!$B$2:$E$2), true))</f>
        <v/>
      </c>
      <c r="D406" s="135" t="s">
        <v>368</v>
      </c>
      <c r="E406" s="137" t="s">
        <v>369</v>
      </c>
      <c r="F406" s="138"/>
      <c r="G406" s="138"/>
      <c r="H406" s="139"/>
    </row>
    <row r="407" ht="15.75" customHeight="1">
      <c r="A407" s="133"/>
      <c r="B407" s="128"/>
      <c r="C407" s="134" t="str">
        <f>if(A407="", "", vlookup(A407+0.01, 'SEO Implementation Checklist'!$B:$E, counta('SEO Implementation Checklist'!$B$2:$E$2), true))</f>
        <v/>
      </c>
      <c r="D407" s="135" t="s">
        <v>368</v>
      </c>
      <c r="E407" s="137" t="s">
        <v>369</v>
      </c>
      <c r="F407" s="138"/>
      <c r="G407" s="138"/>
      <c r="H407" s="139"/>
    </row>
    <row r="408" ht="15.75" customHeight="1">
      <c r="A408" s="133"/>
      <c r="B408" s="128"/>
      <c r="C408" s="134" t="str">
        <f>if(A408="", "", vlookup(A408+0.01, 'SEO Implementation Checklist'!$B:$E, counta('SEO Implementation Checklist'!$B$2:$E$2), true))</f>
        <v/>
      </c>
      <c r="D408" s="135" t="s">
        <v>368</v>
      </c>
      <c r="E408" s="137" t="s">
        <v>369</v>
      </c>
      <c r="F408" s="138"/>
      <c r="G408" s="138"/>
      <c r="H408" s="139"/>
    </row>
    <row r="409" ht="15.75" customHeight="1">
      <c r="A409" s="133"/>
      <c r="B409" s="128"/>
      <c r="C409" s="134" t="str">
        <f>if(A409="", "", vlookup(A409+0.01, 'SEO Implementation Checklist'!$B:$E, counta('SEO Implementation Checklist'!$B$2:$E$2), true))</f>
        <v/>
      </c>
      <c r="D409" s="135" t="s">
        <v>368</v>
      </c>
      <c r="E409" s="137" t="s">
        <v>369</v>
      </c>
      <c r="F409" s="138"/>
      <c r="G409" s="138"/>
      <c r="H409" s="139"/>
    </row>
    <row r="410" ht="15.75" customHeight="1">
      <c r="A410" s="133"/>
      <c r="B410" s="128"/>
      <c r="C410" s="134" t="str">
        <f>if(A410="", "", vlookup(A410+0.01, 'SEO Implementation Checklist'!$B:$E, counta('SEO Implementation Checklist'!$B$2:$E$2), true))</f>
        <v/>
      </c>
      <c r="D410" s="135" t="s">
        <v>368</v>
      </c>
      <c r="E410" s="137" t="s">
        <v>369</v>
      </c>
      <c r="F410" s="138"/>
      <c r="G410" s="138"/>
      <c r="H410" s="139"/>
    </row>
    <row r="411" ht="15.75" customHeight="1">
      <c r="A411" s="133"/>
      <c r="B411" s="128"/>
      <c r="C411" s="134" t="str">
        <f>if(A411="", "", vlookup(A411+0.01, 'SEO Implementation Checklist'!$B:$E, counta('SEO Implementation Checklist'!$B$2:$E$2), true))</f>
        <v/>
      </c>
      <c r="D411" s="135" t="s">
        <v>368</v>
      </c>
      <c r="E411" s="137" t="s">
        <v>369</v>
      </c>
      <c r="F411" s="138"/>
      <c r="G411" s="138"/>
      <c r="H411" s="139"/>
    </row>
    <row r="412" ht="15.75" customHeight="1">
      <c r="A412" s="133"/>
      <c r="B412" s="128"/>
      <c r="C412" s="134" t="str">
        <f>if(A412="", "", vlookup(A412+0.01, 'SEO Implementation Checklist'!$B:$E, counta('SEO Implementation Checklist'!$B$2:$E$2), true))</f>
        <v/>
      </c>
      <c r="D412" s="135" t="s">
        <v>368</v>
      </c>
      <c r="E412" s="137" t="s">
        <v>369</v>
      </c>
      <c r="F412" s="138"/>
      <c r="G412" s="138"/>
      <c r="H412" s="139"/>
    </row>
    <row r="413" ht="15.75" customHeight="1">
      <c r="A413" s="133"/>
      <c r="B413" s="128"/>
      <c r="C413" s="134" t="str">
        <f>if(A413="", "", vlookup(A413+0.01, 'SEO Implementation Checklist'!$B:$E, counta('SEO Implementation Checklist'!$B$2:$E$2), true))</f>
        <v/>
      </c>
      <c r="D413" s="135" t="s">
        <v>368</v>
      </c>
      <c r="E413" s="137" t="s">
        <v>369</v>
      </c>
      <c r="F413" s="138"/>
      <c r="G413" s="138"/>
      <c r="H413" s="139"/>
    </row>
    <row r="414" ht="15.75" customHeight="1">
      <c r="A414" s="133"/>
      <c r="B414" s="128"/>
      <c r="C414" s="134" t="str">
        <f>if(A414="", "", vlookup(A414+0.01, 'SEO Implementation Checklist'!$B:$E, counta('SEO Implementation Checklist'!$B$2:$E$2), true))</f>
        <v/>
      </c>
      <c r="D414" s="135" t="s">
        <v>368</v>
      </c>
      <c r="E414" s="137" t="s">
        <v>369</v>
      </c>
      <c r="F414" s="138"/>
      <c r="G414" s="138"/>
      <c r="H414" s="139"/>
    </row>
    <row r="415" ht="15.75" customHeight="1">
      <c r="A415" s="133"/>
      <c r="B415" s="128"/>
      <c r="C415" s="134" t="str">
        <f>if(A415="", "", vlookup(A415+0.01, 'SEO Implementation Checklist'!$B:$E, counta('SEO Implementation Checklist'!$B$2:$E$2), true))</f>
        <v/>
      </c>
      <c r="D415" s="135" t="s">
        <v>368</v>
      </c>
      <c r="E415" s="137" t="s">
        <v>369</v>
      </c>
      <c r="F415" s="138"/>
      <c r="G415" s="138"/>
      <c r="H415" s="139"/>
    </row>
    <row r="416" ht="15.75" customHeight="1">
      <c r="A416" s="133"/>
      <c r="B416" s="128"/>
      <c r="C416" s="134" t="str">
        <f>if(A416="", "", vlookup(A416+0.01, 'SEO Implementation Checklist'!$B:$E, counta('SEO Implementation Checklist'!$B$2:$E$2), true))</f>
        <v/>
      </c>
      <c r="D416" s="135" t="s">
        <v>368</v>
      </c>
      <c r="E416" s="137" t="s">
        <v>369</v>
      </c>
      <c r="F416" s="138"/>
      <c r="G416" s="138"/>
      <c r="H416" s="139"/>
    </row>
    <row r="417" ht="15.75" customHeight="1">
      <c r="A417" s="133"/>
      <c r="B417" s="128"/>
      <c r="C417" s="134" t="str">
        <f>if(A417="", "", vlookup(A417+0.01, 'SEO Implementation Checklist'!$B:$E, counta('SEO Implementation Checklist'!$B$2:$E$2), true))</f>
        <v/>
      </c>
      <c r="D417" s="135" t="s">
        <v>368</v>
      </c>
      <c r="E417" s="137" t="s">
        <v>369</v>
      </c>
      <c r="F417" s="138"/>
      <c r="G417" s="138"/>
      <c r="H417" s="139"/>
    </row>
    <row r="418" ht="15.75" customHeight="1">
      <c r="A418" s="133"/>
      <c r="B418" s="128"/>
      <c r="C418" s="134" t="str">
        <f>if(A418="", "", vlookup(A418+0.01, 'SEO Implementation Checklist'!$B:$E, counta('SEO Implementation Checklist'!$B$2:$E$2), true))</f>
        <v/>
      </c>
      <c r="D418" s="135" t="s">
        <v>368</v>
      </c>
      <c r="E418" s="137" t="s">
        <v>369</v>
      </c>
      <c r="F418" s="138"/>
      <c r="G418" s="138"/>
      <c r="H418" s="139"/>
    </row>
    <row r="419" ht="15.75" customHeight="1">
      <c r="A419" s="133"/>
      <c r="B419" s="128"/>
      <c r="C419" s="134" t="str">
        <f>if(A419="", "", vlookup(A419+0.01, 'SEO Implementation Checklist'!$B:$E, counta('SEO Implementation Checklist'!$B$2:$E$2), true))</f>
        <v/>
      </c>
      <c r="D419" s="135" t="s">
        <v>368</v>
      </c>
      <c r="E419" s="137" t="s">
        <v>369</v>
      </c>
      <c r="F419" s="138"/>
      <c r="G419" s="138"/>
      <c r="H419" s="139"/>
    </row>
    <row r="420" ht="15.75" customHeight="1">
      <c r="A420" s="133"/>
      <c r="B420" s="128"/>
      <c r="C420" s="134" t="str">
        <f>if(A420="", "", vlookup(A420+0.01, 'SEO Implementation Checklist'!$B:$E, counta('SEO Implementation Checklist'!$B$2:$E$2), true))</f>
        <v/>
      </c>
      <c r="D420" s="135" t="s">
        <v>368</v>
      </c>
      <c r="E420" s="137" t="s">
        <v>369</v>
      </c>
      <c r="F420" s="138"/>
      <c r="G420" s="138"/>
      <c r="H420" s="139"/>
    </row>
    <row r="421" ht="15.75" customHeight="1">
      <c r="A421" s="133"/>
      <c r="B421" s="128"/>
      <c r="C421" s="134" t="str">
        <f>if(A421="", "", vlookup(A421+0.01, 'SEO Implementation Checklist'!$B:$E, counta('SEO Implementation Checklist'!$B$2:$E$2), true))</f>
        <v/>
      </c>
      <c r="D421" s="135" t="s">
        <v>368</v>
      </c>
      <c r="E421" s="137" t="s">
        <v>369</v>
      </c>
      <c r="F421" s="138"/>
      <c r="G421" s="138"/>
      <c r="H421" s="139"/>
    </row>
    <row r="422" ht="15.75" customHeight="1">
      <c r="A422" s="133"/>
      <c r="B422" s="128"/>
      <c r="C422" s="134" t="str">
        <f>if(A422="", "", vlookup(A422+0.01, 'SEO Implementation Checklist'!$B:$E, counta('SEO Implementation Checklist'!$B$2:$E$2), true))</f>
        <v/>
      </c>
      <c r="D422" s="135" t="s">
        <v>368</v>
      </c>
      <c r="E422" s="137" t="s">
        <v>369</v>
      </c>
      <c r="F422" s="138"/>
      <c r="G422" s="138"/>
      <c r="H422" s="139"/>
    </row>
    <row r="423" ht="15.75" customHeight="1">
      <c r="A423" s="133"/>
      <c r="B423" s="128"/>
      <c r="C423" s="134" t="str">
        <f>if(A423="", "", vlookup(A423+0.01, 'SEO Implementation Checklist'!$B:$E, counta('SEO Implementation Checklist'!$B$2:$E$2), true))</f>
        <v/>
      </c>
      <c r="D423" s="135" t="s">
        <v>368</v>
      </c>
      <c r="E423" s="137" t="s">
        <v>369</v>
      </c>
      <c r="F423" s="138"/>
      <c r="G423" s="138"/>
      <c r="H423" s="139"/>
    </row>
    <row r="424" ht="15.75" customHeight="1">
      <c r="A424" s="133"/>
      <c r="B424" s="128"/>
      <c r="C424" s="134" t="str">
        <f>if(A424="", "", vlookup(A424+0.01, 'SEO Implementation Checklist'!$B:$E, counta('SEO Implementation Checklist'!$B$2:$E$2), true))</f>
        <v/>
      </c>
      <c r="D424" s="135" t="s">
        <v>368</v>
      </c>
      <c r="E424" s="137" t="s">
        <v>369</v>
      </c>
      <c r="F424" s="138"/>
      <c r="G424" s="138"/>
      <c r="H424" s="139"/>
    </row>
    <row r="425" ht="15.75" customHeight="1">
      <c r="A425" s="133"/>
      <c r="B425" s="128"/>
      <c r="C425" s="134" t="str">
        <f>if(A425="", "", vlookup(A425+0.01, 'SEO Implementation Checklist'!$B:$E, counta('SEO Implementation Checklist'!$B$2:$E$2), true))</f>
        <v/>
      </c>
      <c r="D425" s="135" t="s">
        <v>368</v>
      </c>
      <c r="E425" s="137" t="s">
        <v>369</v>
      </c>
      <c r="F425" s="138"/>
      <c r="G425" s="138"/>
      <c r="H425" s="139"/>
    </row>
    <row r="426" ht="15.75" customHeight="1">
      <c r="A426" s="133"/>
      <c r="B426" s="128"/>
      <c r="C426" s="134" t="str">
        <f>if(A426="", "", vlookup(A426+0.01, 'SEO Implementation Checklist'!$B:$E, counta('SEO Implementation Checklist'!$B$2:$E$2), true))</f>
        <v/>
      </c>
      <c r="D426" s="135" t="s">
        <v>368</v>
      </c>
      <c r="E426" s="137" t="s">
        <v>369</v>
      </c>
      <c r="F426" s="138"/>
      <c r="G426" s="138"/>
      <c r="H426" s="139"/>
    </row>
    <row r="427" ht="15.75" customHeight="1">
      <c r="A427" s="133"/>
      <c r="B427" s="128"/>
      <c r="C427" s="134" t="str">
        <f>if(A427="", "", vlookup(A427+0.01, 'SEO Implementation Checklist'!$B:$E, counta('SEO Implementation Checklist'!$B$2:$E$2), true))</f>
        <v/>
      </c>
      <c r="D427" s="135" t="s">
        <v>368</v>
      </c>
      <c r="E427" s="137" t="s">
        <v>369</v>
      </c>
      <c r="F427" s="138"/>
      <c r="G427" s="138"/>
      <c r="H427" s="139"/>
    </row>
    <row r="428" ht="15.75" customHeight="1">
      <c r="A428" s="133"/>
      <c r="B428" s="128"/>
      <c r="C428" s="134" t="str">
        <f>if(A428="", "", vlookup(A428+0.01, 'SEO Implementation Checklist'!$B:$E, counta('SEO Implementation Checklist'!$B$2:$E$2), true))</f>
        <v/>
      </c>
      <c r="D428" s="135" t="s">
        <v>368</v>
      </c>
      <c r="E428" s="137" t="s">
        <v>369</v>
      </c>
      <c r="F428" s="138"/>
      <c r="G428" s="138"/>
      <c r="H428" s="139"/>
    </row>
    <row r="429" ht="15.75" customHeight="1">
      <c r="A429" s="133"/>
      <c r="B429" s="128"/>
      <c r="C429" s="134" t="str">
        <f>if(A429="", "", vlookup(A429+0.01, 'SEO Implementation Checklist'!$B:$E, counta('SEO Implementation Checklist'!$B$2:$E$2), true))</f>
        <v/>
      </c>
      <c r="D429" s="135" t="s">
        <v>368</v>
      </c>
      <c r="E429" s="137" t="s">
        <v>369</v>
      </c>
      <c r="F429" s="138"/>
      <c r="G429" s="138"/>
      <c r="H429" s="139"/>
    </row>
    <row r="430" ht="15.75" customHeight="1">
      <c r="A430" s="133"/>
      <c r="B430" s="128"/>
      <c r="C430" s="134" t="str">
        <f>if(A430="", "", vlookup(A430+0.01, 'SEO Implementation Checklist'!$B:$E, counta('SEO Implementation Checklist'!$B$2:$E$2), true))</f>
        <v/>
      </c>
      <c r="D430" s="135" t="s">
        <v>368</v>
      </c>
      <c r="E430" s="137" t="s">
        <v>369</v>
      </c>
      <c r="F430" s="138"/>
      <c r="G430" s="138"/>
      <c r="H430" s="139"/>
    </row>
    <row r="431" ht="15.75" customHeight="1">
      <c r="A431" s="133"/>
      <c r="B431" s="128"/>
      <c r="C431" s="134" t="str">
        <f>if(A431="", "", vlookup(A431+0.01, 'SEO Implementation Checklist'!$B:$E, counta('SEO Implementation Checklist'!$B$2:$E$2), true))</f>
        <v/>
      </c>
      <c r="D431" s="135" t="s">
        <v>368</v>
      </c>
      <c r="E431" s="137" t="s">
        <v>369</v>
      </c>
      <c r="F431" s="138"/>
      <c r="G431" s="138"/>
      <c r="H431" s="139"/>
    </row>
    <row r="432" ht="15.75" customHeight="1">
      <c r="A432" s="133"/>
      <c r="B432" s="128"/>
      <c r="C432" s="134" t="str">
        <f>if(A432="", "", vlookup(A432+0.01, 'SEO Implementation Checklist'!$B:$E, counta('SEO Implementation Checklist'!$B$2:$E$2), true))</f>
        <v/>
      </c>
      <c r="D432" s="135" t="s">
        <v>368</v>
      </c>
      <c r="E432" s="137" t="s">
        <v>369</v>
      </c>
      <c r="F432" s="138"/>
      <c r="G432" s="138"/>
      <c r="H432" s="139"/>
    </row>
    <row r="433" ht="15.75" customHeight="1">
      <c r="A433" s="133"/>
      <c r="B433" s="128"/>
      <c r="C433" s="134" t="str">
        <f>if(A433="", "", vlookup(A433+0.01, 'SEO Implementation Checklist'!$B:$E, counta('SEO Implementation Checklist'!$B$2:$E$2), true))</f>
        <v/>
      </c>
      <c r="D433" s="135" t="s">
        <v>368</v>
      </c>
      <c r="E433" s="137" t="s">
        <v>369</v>
      </c>
      <c r="F433" s="138"/>
      <c r="G433" s="138"/>
      <c r="H433" s="139"/>
    </row>
    <row r="434" ht="15.75" customHeight="1">
      <c r="A434" s="133"/>
      <c r="B434" s="128"/>
      <c r="C434" s="134" t="str">
        <f>if(A434="", "", vlookup(A434+0.01, 'SEO Implementation Checklist'!$B:$E, counta('SEO Implementation Checklist'!$B$2:$E$2), true))</f>
        <v/>
      </c>
      <c r="D434" s="135" t="s">
        <v>368</v>
      </c>
      <c r="E434" s="137" t="s">
        <v>369</v>
      </c>
      <c r="F434" s="138"/>
      <c r="G434" s="138"/>
      <c r="H434" s="139"/>
    </row>
    <row r="435" ht="15.75" customHeight="1">
      <c r="A435" s="133"/>
      <c r="B435" s="128"/>
      <c r="C435" s="134" t="str">
        <f>if(A435="", "", vlookup(A435+0.01, 'SEO Implementation Checklist'!$B:$E, counta('SEO Implementation Checklist'!$B$2:$E$2), true))</f>
        <v/>
      </c>
      <c r="D435" s="135" t="s">
        <v>368</v>
      </c>
      <c r="E435" s="137" t="s">
        <v>369</v>
      </c>
      <c r="F435" s="138"/>
      <c r="G435" s="138"/>
      <c r="H435" s="139"/>
    </row>
    <row r="436" ht="15.75" customHeight="1">
      <c r="A436" s="133"/>
      <c r="B436" s="128"/>
      <c r="C436" s="134" t="str">
        <f>if(A436="", "", vlookup(A436+0.01, 'SEO Implementation Checklist'!$B:$E, counta('SEO Implementation Checklist'!$B$2:$E$2), true))</f>
        <v/>
      </c>
      <c r="D436" s="135" t="s">
        <v>368</v>
      </c>
      <c r="E436" s="137" t="s">
        <v>369</v>
      </c>
      <c r="F436" s="138"/>
      <c r="G436" s="138"/>
      <c r="H436" s="139"/>
    </row>
    <row r="437" ht="15.75" customHeight="1">
      <c r="A437" s="133"/>
      <c r="B437" s="128"/>
      <c r="C437" s="134" t="str">
        <f>if(A437="", "", vlookup(A437+0.01, 'SEO Implementation Checklist'!$B:$E, counta('SEO Implementation Checklist'!$B$2:$E$2), true))</f>
        <v/>
      </c>
      <c r="D437" s="135" t="s">
        <v>368</v>
      </c>
      <c r="E437" s="137" t="s">
        <v>369</v>
      </c>
      <c r="F437" s="138"/>
      <c r="G437" s="138"/>
      <c r="H437" s="139"/>
    </row>
    <row r="438" ht="15.75" customHeight="1">
      <c r="A438" s="133"/>
      <c r="B438" s="128"/>
      <c r="C438" s="134" t="str">
        <f>if(A438="", "", vlookup(A438+0.01, 'SEO Implementation Checklist'!$B:$E, counta('SEO Implementation Checklist'!$B$2:$E$2), true))</f>
        <v/>
      </c>
      <c r="D438" s="135" t="s">
        <v>368</v>
      </c>
      <c r="E438" s="137" t="s">
        <v>369</v>
      </c>
      <c r="F438" s="138"/>
      <c r="G438" s="138"/>
      <c r="H438" s="139"/>
    </row>
    <row r="439" ht="15.75" customHeight="1">
      <c r="A439" s="133"/>
      <c r="B439" s="128"/>
      <c r="C439" s="134" t="str">
        <f>if(A439="", "", vlookup(A439+0.01, 'SEO Implementation Checklist'!$B:$E, counta('SEO Implementation Checklist'!$B$2:$E$2), true))</f>
        <v/>
      </c>
      <c r="D439" s="135" t="s">
        <v>368</v>
      </c>
      <c r="E439" s="137" t="s">
        <v>369</v>
      </c>
      <c r="F439" s="138"/>
      <c r="G439" s="138"/>
      <c r="H439" s="139"/>
    </row>
    <row r="440" ht="15.75" customHeight="1">
      <c r="A440" s="133"/>
      <c r="B440" s="128"/>
      <c r="C440" s="134" t="str">
        <f>if(A440="", "", vlookup(A440+0.01, 'SEO Implementation Checklist'!$B:$E, counta('SEO Implementation Checklist'!$B$2:$E$2), true))</f>
        <v/>
      </c>
      <c r="D440" s="135" t="s">
        <v>368</v>
      </c>
      <c r="E440" s="137" t="s">
        <v>369</v>
      </c>
      <c r="F440" s="138"/>
      <c r="G440" s="138"/>
      <c r="H440" s="139"/>
    </row>
    <row r="441" ht="15.75" customHeight="1">
      <c r="A441" s="133"/>
      <c r="B441" s="128"/>
      <c r="C441" s="134" t="str">
        <f>if(A441="", "", vlookup(A441+0.01, 'SEO Implementation Checklist'!$B:$E, counta('SEO Implementation Checklist'!$B$2:$E$2), true))</f>
        <v/>
      </c>
      <c r="D441" s="135" t="s">
        <v>368</v>
      </c>
      <c r="E441" s="137" t="s">
        <v>369</v>
      </c>
      <c r="F441" s="138"/>
      <c r="G441" s="138"/>
      <c r="H441" s="139"/>
    </row>
    <row r="442" ht="15.75" customHeight="1">
      <c r="A442" s="133"/>
      <c r="B442" s="128"/>
      <c r="C442" s="134" t="str">
        <f>if(A442="", "", vlookup(A442+0.01, 'SEO Implementation Checklist'!$B:$E, counta('SEO Implementation Checklist'!$B$2:$E$2), true))</f>
        <v/>
      </c>
      <c r="D442" s="135" t="s">
        <v>368</v>
      </c>
      <c r="E442" s="137" t="s">
        <v>369</v>
      </c>
      <c r="F442" s="138"/>
      <c r="G442" s="138"/>
      <c r="H442" s="139"/>
    </row>
    <row r="443" ht="15.75" customHeight="1">
      <c r="A443" s="133"/>
      <c r="B443" s="128"/>
      <c r="C443" s="134" t="str">
        <f>if(A443="", "", vlookup(A443+0.01, 'SEO Implementation Checklist'!$B:$E, counta('SEO Implementation Checklist'!$B$2:$E$2), true))</f>
        <v/>
      </c>
      <c r="D443" s="135" t="s">
        <v>368</v>
      </c>
      <c r="E443" s="137" t="s">
        <v>369</v>
      </c>
      <c r="F443" s="138"/>
      <c r="G443" s="138"/>
      <c r="H443" s="139"/>
    </row>
    <row r="444" ht="15.75" customHeight="1">
      <c r="A444" s="133"/>
      <c r="B444" s="128"/>
      <c r="C444" s="134" t="str">
        <f>if(A444="", "", vlookup(A444+0.01, 'SEO Implementation Checklist'!$B:$E, counta('SEO Implementation Checklist'!$B$2:$E$2), true))</f>
        <v/>
      </c>
      <c r="D444" s="135" t="s">
        <v>368</v>
      </c>
      <c r="E444" s="137" t="s">
        <v>369</v>
      </c>
      <c r="F444" s="138"/>
      <c r="G444" s="138"/>
      <c r="H444" s="139"/>
    </row>
    <row r="445" ht="15.75" customHeight="1">
      <c r="A445" s="133"/>
      <c r="B445" s="128"/>
      <c r="C445" s="134" t="str">
        <f>if(A445="", "", vlookup(A445+0.01, 'SEO Implementation Checklist'!$B:$E, counta('SEO Implementation Checklist'!$B$2:$E$2), true))</f>
        <v/>
      </c>
      <c r="D445" s="135" t="s">
        <v>368</v>
      </c>
      <c r="E445" s="137" t="s">
        <v>369</v>
      </c>
      <c r="F445" s="138"/>
      <c r="G445" s="138"/>
      <c r="H445" s="139"/>
    </row>
    <row r="446" ht="15.75" customHeight="1">
      <c r="A446" s="133"/>
      <c r="B446" s="128"/>
      <c r="C446" s="134" t="str">
        <f>if(A446="", "", vlookup(A446+0.01, 'SEO Implementation Checklist'!$B:$E, counta('SEO Implementation Checklist'!$B$2:$E$2), true))</f>
        <v/>
      </c>
      <c r="D446" s="135" t="s">
        <v>368</v>
      </c>
      <c r="E446" s="137" t="s">
        <v>369</v>
      </c>
      <c r="F446" s="138"/>
      <c r="G446" s="138"/>
      <c r="H446" s="139"/>
    </row>
    <row r="447" ht="15.75" customHeight="1">
      <c r="A447" s="133"/>
      <c r="B447" s="128"/>
      <c r="C447" s="134" t="str">
        <f>if(A447="", "", vlookup(A447+0.01, 'SEO Implementation Checklist'!$B:$E, counta('SEO Implementation Checklist'!$B$2:$E$2), true))</f>
        <v/>
      </c>
      <c r="D447" s="135" t="s">
        <v>368</v>
      </c>
      <c r="E447" s="137" t="s">
        <v>369</v>
      </c>
      <c r="F447" s="138"/>
      <c r="G447" s="138"/>
      <c r="H447" s="139"/>
    </row>
    <row r="448" ht="15.75" customHeight="1">
      <c r="A448" s="133"/>
      <c r="B448" s="128"/>
      <c r="C448" s="134" t="str">
        <f>if(A448="", "", vlookup(A448+0.01, 'SEO Implementation Checklist'!$B:$E, counta('SEO Implementation Checklist'!$B$2:$E$2), true))</f>
        <v/>
      </c>
      <c r="D448" s="135" t="s">
        <v>368</v>
      </c>
      <c r="E448" s="137" t="s">
        <v>369</v>
      </c>
      <c r="F448" s="138"/>
      <c r="G448" s="138"/>
      <c r="H448" s="139"/>
    </row>
    <row r="449" ht="15.75" customHeight="1">
      <c r="A449" s="133"/>
      <c r="B449" s="128"/>
      <c r="C449" s="134" t="str">
        <f>if(A449="", "", vlookup(A449+0.01, 'SEO Implementation Checklist'!$B:$E, counta('SEO Implementation Checklist'!$B$2:$E$2), true))</f>
        <v/>
      </c>
      <c r="D449" s="135" t="s">
        <v>368</v>
      </c>
      <c r="E449" s="137" t="s">
        <v>369</v>
      </c>
      <c r="F449" s="138"/>
      <c r="G449" s="138"/>
      <c r="H449" s="139"/>
    </row>
    <row r="450" ht="15.75" customHeight="1">
      <c r="A450" s="133"/>
      <c r="B450" s="128"/>
      <c r="C450" s="134" t="str">
        <f>if(A450="", "", vlookup(A450+0.01, 'SEO Implementation Checklist'!$B:$E, counta('SEO Implementation Checklist'!$B$2:$E$2), true))</f>
        <v/>
      </c>
      <c r="D450" s="135" t="s">
        <v>368</v>
      </c>
      <c r="E450" s="137" t="s">
        <v>369</v>
      </c>
      <c r="F450" s="138"/>
      <c r="G450" s="138"/>
      <c r="H450" s="139"/>
    </row>
    <row r="451" ht="15.75" customHeight="1">
      <c r="A451" s="133"/>
      <c r="B451" s="128"/>
      <c r="C451" s="134" t="str">
        <f>if(A451="", "", vlookup(A451+0.01, 'SEO Implementation Checklist'!$B:$E, counta('SEO Implementation Checklist'!$B$2:$E$2), true))</f>
        <v/>
      </c>
      <c r="D451" s="135" t="s">
        <v>368</v>
      </c>
      <c r="E451" s="137" t="s">
        <v>369</v>
      </c>
      <c r="F451" s="138"/>
      <c r="G451" s="138"/>
      <c r="H451" s="139"/>
    </row>
    <row r="452" ht="15.75" customHeight="1">
      <c r="A452" s="133"/>
      <c r="B452" s="128"/>
      <c r="C452" s="134" t="str">
        <f>if(A452="", "", vlookup(A452+0.01, 'SEO Implementation Checklist'!$B:$E, counta('SEO Implementation Checklist'!$B$2:$E$2), true))</f>
        <v/>
      </c>
      <c r="D452" s="135" t="s">
        <v>368</v>
      </c>
      <c r="E452" s="137" t="s">
        <v>369</v>
      </c>
      <c r="F452" s="138"/>
      <c r="G452" s="138"/>
      <c r="H452" s="139"/>
    </row>
    <row r="453" ht="15.75" customHeight="1">
      <c r="A453" s="133"/>
      <c r="B453" s="128"/>
      <c r="C453" s="134" t="str">
        <f>if(A453="", "", vlookup(A453+0.01, 'SEO Implementation Checklist'!$B:$E, counta('SEO Implementation Checklist'!$B$2:$E$2), true))</f>
        <v/>
      </c>
      <c r="D453" s="135" t="s">
        <v>368</v>
      </c>
      <c r="E453" s="137" t="s">
        <v>369</v>
      </c>
      <c r="F453" s="138"/>
      <c r="G453" s="138"/>
      <c r="H453" s="139"/>
    </row>
    <row r="454" ht="15.75" customHeight="1">
      <c r="A454" s="133"/>
      <c r="B454" s="128"/>
      <c r="C454" s="134" t="str">
        <f>if(A454="", "", vlookup(A454+0.01, 'SEO Implementation Checklist'!$B:$E, counta('SEO Implementation Checklist'!$B$2:$E$2), true))</f>
        <v/>
      </c>
      <c r="D454" s="135" t="s">
        <v>368</v>
      </c>
      <c r="E454" s="137" t="s">
        <v>369</v>
      </c>
      <c r="F454" s="138"/>
      <c r="G454" s="138"/>
      <c r="H454" s="139"/>
    </row>
    <row r="455" ht="15.75" customHeight="1">
      <c r="A455" s="133"/>
      <c r="B455" s="128"/>
      <c r="C455" s="134" t="str">
        <f>if(A455="", "", vlookup(A455+0.01, 'SEO Implementation Checklist'!$B:$E, counta('SEO Implementation Checklist'!$B$2:$E$2), true))</f>
        <v/>
      </c>
      <c r="D455" s="135" t="s">
        <v>368</v>
      </c>
      <c r="E455" s="137" t="s">
        <v>369</v>
      </c>
      <c r="F455" s="138"/>
      <c r="G455" s="138"/>
      <c r="H455" s="139"/>
    </row>
    <row r="456" ht="15.75" customHeight="1">
      <c r="A456" s="133"/>
      <c r="B456" s="128"/>
      <c r="C456" s="134" t="str">
        <f>if(A456="", "", vlookup(A456+0.01, 'SEO Implementation Checklist'!$B:$E, counta('SEO Implementation Checklist'!$B$2:$E$2), true))</f>
        <v/>
      </c>
      <c r="D456" s="135" t="s">
        <v>368</v>
      </c>
      <c r="E456" s="137" t="s">
        <v>369</v>
      </c>
      <c r="F456" s="138"/>
      <c r="G456" s="138"/>
      <c r="H456" s="139"/>
    </row>
    <row r="457" ht="15.75" customHeight="1">
      <c r="A457" s="133"/>
      <c r="B457" s="128"/>
      <c r="C457" s="134" t="str">
        <f>if(A457="", "", vlookup(A457+0.01, 'SEO Implementation Checklist'!$B:$E, counta('SEO Implementation Checklist'!$B$2:$E$2), true))</f>
        <v/>
      </c>
      <c r="D457" s="135" t="s">
        <v>368</v>
      </c>
      <c r="E457" s="137" t="s">
        <v>369</v>
      </c>
      <c r="F457" s="138"/>
      <c r="G457" s="138"/>
      <c r="H457" s="139"/>
    </row>
    <row r="458" ht="15.75" customHeight="1">
      <c r="A458" s="133"/>
      <c r="B458" s="128"/>
      <c r="C458" s="134" t="str">
        <f>if(A458="", "", vlookup(A458+0.01, 'SEO Implementation Checklist'!$B:$E, counta('SEO Implementation Checklist'!$B$2:$E$2), true))</f>
        <v/>
      </c>
      <c r="D458" s="135" t="s">
        <v>368</v>
      </c>
      <c r="E458" s="137" t="s">
        <v>369</v>
      </c>
      <c r="F458" s="138"/>
      <c r="G458" s="138"/>
      <c r="H458" s="139"/>
    </row>
    <row r="459" ht="15.75" customHeight="1">
      <c r="A459" s="133"/>
      <c r="B459" s="128"/>
      <c r="C459" s="134" t="str">
        <f>if(A459="", "", vlookup(A459+0.01, 'SEO Implementation Checklist'!$B:$E, counta('SEO Implementation Checklist'!$B$2:$E$2), true))</f>
        <v/>
      </c>
      <c r="D459" s="135" t="s">
        <v>368</v>
      </c>
      <c r="E459" s="137" t="s">
        <v>369</v>
      </c>
      <c r="F459" s="138"/>
      <c r="G459" s="138"/>
      <c r="H459" s="139"/>
    </row>
    <row r="460" ht="15.75" customHeight="1">
      <c r="A460" s="133"/>
      <c r="B460" s="128"/>
      <c r="C460" s="134" t="str">
        <f>if(A460="", "", vlookup(A460+0.01, 'SEO Implementation Checklist'!$B:$E, counta('SEO Implementation Checklist'!$B$2:$E$2), true))</f>
        <v/>
      </c>
      <c r="D460" s="135" t="s">
        <v>368</v>
      </c>
      <c r="E460" s="137" t="s">
        <v>369</v>
      </c>
      <c r="F460" s="138"/>
      <c r="G460" s="138"/>
      <c r="H460" s="139"/>
    </row>
    <row r="461" ht="15.75" customHeight="1">
      <c r="A461" s="133"/>
      <c r="B461" s="128"/>
      <c r="C461" s="134" t="str">
        <f>if(A461="", "", vlookup(A461+0.01, 'SEO Implementation Checklist'!$B:$E, counta('SEO Implementation Checklist'!$B$2:$E$2), true))</f>
        <v/>
      </c>
      <c r="D461" s="135" t="s">
        <v>368</v>
      </c>
      <c r="E461" s="137" t="s">
        <v>369</v>
      </c>
      <c r="F461" s="138"/>
      <c r="G461" s="138"/>
      <c r="H461" s="139"/>
    </row>
    <row r="462" ht="15.75" customHeight="1">
      <c r="A462" s="133"/>
      <c r="B462" s="128"/>
      <c r="C462" s="134" t="str">
        <f>if(A462="", "", vlookup(A462+0.01, 'SEO Implementation Checklist'!$B:$E, counta('SEO Implementation Checklist'!$B$2:$E$2), true))</f>
        <v/>
      </c>
      <c r="D462" s="135" t="s">
        <v>368</v>
      </c>
      <c r="E462" s="137" t="s">
        <v>369</v>
      </c>
      <c r="F462" s="138"/>
      <c r="G462" s="138"/>
      <c r="H462" s="139"/>
    </row>
    <row r="463" ht="15.75" customHeight="1">
      <c r="A463" s="133"/>
      <c r="B463" s="128"/>
      <c r="C463" s="134" t="str">
        <f>if(A463="", "", vlookup(A463+0.01, 'SEO Implementation Checklist'!$B:$E, counta('SEO Implementation Checklist'!$B$2:$E$2), true))</f>
        <v/>
      </c>
      <c r="D463" s="135" t="s">
        <v>368</v>
      </c>
      <c r="E463" s="137" t="s">
        <v>369</v>
      </c>
      <c r="F463" s="138"/>
      <c r="G463" s="138"/>
      <c r="H463" s="139"/>
    </row>
    <row r="464" ht="15.75" customHeight="1">
      <c r="A464" s="133"/>
      <c r="B464" s="128"/>
      <c r="C464" s="134" t="str">
        <f>if(A464="", "", vlookup(A464+0.01, 'SEO Implementation Checklist'!$B:$E, counta('SEO Implementation Checklist'!$B$2:$E$2), true))</f>
        <v/>
      </c>
      <c r="D464" s="135" t="s">
        <v>368</v>
      </c>
      <c r="E464" s="137" t="s">
        <v>369</v>
      </c>
      <c r="F464" s="138"/>
      <c r="G464" s="138"/>
      <c r="H464" s="139"/>
    </row>
    <row r="465" ht="15.75" customHeight="1">
      <c r="A465" s="133"/>
      <c r="B465" s="128"/>
      <c r="C465" s="134" t="str">
        <f>if(A465="", "", vlookup(A465+0.01, 'SEO Implementation Checklist'!$B:$E, counta('SEO Implementation Checklist'!$B$2:$E$2), true))</f>
        <v/>
      </c>
      <c r="D465" s="135" t="s">
        <v>368</v>
      </c>
      <c r="E465" s="137" t="s">
        <v>369</v>
      </c>
      <c r="F465" s="138"/>
      <c r="G465" s="138"/>
      <c r="H465" s="139"/>
    </row>
    <row r="466" ht="15.75" customHeight="1">
      <c r="A466" s="133"/>
      <c r="B466" s="128"/>
      <c r="C466" s="134" t="str">
        <f>if(A466="", "", vlookup(A466+0.01, 'SEO Implementation Checklist'!$B:$E, counta('SEO Implementation Checklist'!$B$2:$E$2), true))</f>
        <v/>
      </c>
      <c r="D466" s="135" t="s">
        <v>368</v>
      </c>
      <c r="E466" s="137" t="s">
        <v>369</v>
      </c>
      <c r="F466" s="138"/>
      <c r="G466" s="138"/>
      <c r="H466" s="139"/>
    </row>
    <row r="467" ht="15.75" customHeight="1">
      <c r="A467" s="133"/>
      <c r="B467" s="128"/>
      <c r="C467" s="134" t="str">
        <f>if(A467="", "", vlookup(A467+0.01, 'SEO Implementation Checklist'!$B:$E, counta('SEO Implementation Checklist'!$B$2:$E$2), true))</f>
        <v/>
      </c>
      <c r="D467" s="135" t="s">
        <v>368</v>
      </c>
      <c r="E467" s="137" t="s">
        <v>369</v>
      </c>
      <c r="F467" s="138"/>
      <c r="G467" s="138"/>
      <c r="H467" s="139"/>
    </row>
    <row r="468" ht="15.75" customHeight="1">
      <c r="A468" s="133"/>
      <c r="B468" s="128"/>
      <c r="C468" s="134" t="str">
        <f>if(A468="", "", vlookup(A468+0.01, 'SEO Implementation Checklist'!$B:$E, counta('SEO Implementation Checklist'!$B$2:$E$2), true))</f>
        <v/>
      </c>
      <c r="D468" s="135" t="s">
        <v>368</v>
      </c>
      <c r="E468" s="137" t="s">
        <v>369</v>
      </c>
      <c r="F468" s="138"/>
      <c r="G468" s="138"/>
      <c r="H468" s="139"/>
    </row>
    <row r="469" ht="15.75" customHeight="1">
      <c r="A469" s="133"/>
      <c r="B469" s="128"/>
      <c r="C469" s="134" t="str">
        <f>if(A469="", "", vlookup(A469+0.01, 'SEO Implementation Checklist'!$B:$E, counta('SEO Implementation Checklist'!$B$2:$E$2), true))</f>
        <v/>
      </c>
      <c r="D469" s="135" t="s">
        <v>368</v>
      </c>
      <c r="E469" s="137" t="s">
        <v>369</v>
      </c>
      <c r="F469" s="138"/>
      <c r="G469" s="138"/>
      <c r="H469" s="139"/>
    </row>
    <row r="470" ht="15.75" customHeight="1">
      <c r="A470" s="133"/>
      <c r="B470" s="128"/>
      <c r="C470" s="134" t="str">
        <f>if(A470="", "", vlookup(A470+0.01, 'SEO Implementation Checklist'!$B:$E, counta('SEO Implementation Checklist'!$B$2:$E$2), true))</f>
        <v/>
      </c>
      <c r="D470" s="135" t="s">
        <v>368</v>
      </c>
      <c r="E470" s="137" t="s">
        <v>369</v>
      </c>
      <c r="F470" s="138"/>
      <c r="G470" s="138"/>
      <c r="H470" s="139"/>
    </row>
    <row r="471" ht="15.75" customHeight="1">
      <c r="A471" s="133"/>
      <c r="B471" s="128"/>
      <c r="C471" s="134" t="str">
        <f>if(A471="", "", vlookup(A471+0.01, 'SEO Implementation Checklist'!$B:$E, counta('SEO Implementation Checklist'!$B$2:$E$2), true))</f>
        <v/>
      </c>
      <c r="D471" s="135" t="s">
        <v>368</v>
      </c>
      <c r="E471" s="137" t="s">
        <v>369</v>
      </c>
      <c r="F471" s="138"/>
      <c r="G471" s="138"/>
      <c r="H471" s="139"/>
    </row>
    <row r="472" ht="15.75" customHeight="1">
      <c r="A472" s="133"/>
      <c r="B472" s="128"/>
      <c r="C472" s="134" t="str">
        <f>if(A472="", "", vlookup(A472+0.01, 'SEO Implementation Checklist'!$B:$E, counta('SEO Implementation Checklist'!$B$2:$E$2), true))</f>
        <v/>
      </c>
      <c r="D472" s="135" t="s">
        <v>368</v>
      </c>
      <c r="E472" s="137" t="s">
        <v>369</v>
      </c>
      <c r="F472" s="138"/>
      <c r="G472" s="138"/>
      <c r="H472" s="139"/>
    </row>
    <row r="473" ht="15.75" customHeight="1">
      <c r="A473" s="133"/>
      <c r="B473" s="128"/>
      <c r="C473" s="134" t="str">
        <f>if(A473="", "", vlookup(A473+0.01, 'SEO Implementation Checklist'!$B:$E, counta('SEO Implementation Checklist'!$B$2:$E$2), true))</f>
        <v/>
      </c>
      <c r="D473" s="135" t="s">
        <v>368</v>
      </c>
      <c r="E473" s="137" t="s">
        <v>369</v>
      </c>
      <c r="F473" s="138"/>
      <c r="G473" s="138"/>
      <c r="H473" s="139"/>
    </row>
    <row r="474" ht="15.75" customHeight="1">
      <c r="A474" s="133"/>
      <c r="B474" s="128"/>
      <c r="C474" s="134" t="str">
        <f>if(A474="", "", vlookup(A474+0.01, 'SEO Implementation Checklist'!$B:$E, counta('SEO Implementation Checklist'!$B$2:$E$2), true))</f>
        <v/>
      </c>
      <c r="D474" s="135" t="s">
        <v>368</v>
      </c>
      <c r="E474" s="137" t="s">
        <v>369</v>
      </c>
      <c r="F474" s="138"/>
      <c r="G474" s="138"/>
      <c r="H474" s="139"/>
    </row>
    <row r="475" ht="15.75" customHeight="1">
      <c r="A475" s="133"/>
      <c r="B475" s="128"/>
      <c r="C475" s="134" t="str">
        <f>if(A475="", "", vlookup(A475+0.01, 'SEO Implementation Checklist'!$B:$E, counta('SEO Implementation Checklist'!$B$2:$E$2), true))</f>
        <v/>
      </c>
      <c r="D475" s="135" t="s">
        <v>368</v>
      </c>
      <c r="E475" s="137" t="s">
        <v>369</v>
      </c>
      <c r="F475" s="138"/>
      <c r="G475" s="138"/>
      <c r="H475" s="139"/>
    </row>
    <row r="476" ht="15.75" customHeight="1">
      <c r="A476" s="133"/>
      <c r="B476" s="128"/>
      <c r="C476" s="134" t="str">
        <f>if(A476="", "", vlookup(A476+0.01, 'SEO Implementation Checklist'!$B:$E, counta('SEO Implementation Checklist'!$B$2:$E$2), true))</f>
        <v/>
      </c>
      <c r="D476" s="135" t="s">
        <v>368</v>
      </c>
      <c r="E476" s="137" t="s">
        <v>369</v>
      </c>
      <c r="F476" s="138"/>
      <c r="G476" s="138"/>
      <c r="H476" s="139"/>
    </row>
    <row r="477" ht="15.75" customHeight="1">
      <c r="A477" s="133"/>
      <c r="B477" s="128"/>
      <c r="C477" s="134" t="str">
        <f>if(A477="", "", vlookup(A477+0.01, 'SEO Implementation Checklist'!$B:$E, counta('SEO Implementation Checklist'!$B$2:$E$2), true))</f>
        <v/>
      </c>
      <c r="D477" s="135" t="s">
        <v>368</v>
      </c>
      <c r="E477" s="137" t="s">
        <v>369</v>
      </c>
      <c r="F477" s="138"/>
      <c r="G477" s="138"/>
      <c r="H477" s="139"/>
    </row>
    <row r="478" ht="15.75" customHeight="1">
      <c r="A478" s="133"/>
      <c r="B478" s="128"/>
      <c r="C478" s="134" t="str">
        <f>if(A478="", "", vlookup(A478+0.01, 'SEO Implementation Checklist'!$B:$E, counta('SEO Implementation Checklist'!$B$2:$E$2), true))</f>
        <v/>
      </c>
      <c r="D478" s="135" t="s">
        <v>368</v>
      </c>
      <c r="E478" s="137" t="s">
        <v>369</v>
      </c>
      <c r="F478" s="138"/>
      <c r="G478" s="138"/>
      <c r="H478" s="139"/>
    </row>
    <row r="479" ht="15.75" customHeight="1">
      <c r="A479" s="133"/>
      <c r="B479" s="128"/>
      <c r="C479" s="134" t="str">
        <f>if(A479="", "", vlookup(A479+0.01, 'SEO Implementation Checklist'!$B:$E, counta('SEO Implementation Checklist'!$B$2:$E$2), true))</f>
        <v/>
      </c>
      <c r="D479" s="135" t="s">
        <v>368</v>
      </c>
      <c r="E479" s="137" t="s">
        <v>369</v>
      </c>
      <c r="F479" s="138"/>
      <c r="G479" s="138"/>
      <c r="H479" s="139"/>
    </row>
    <row r="480" ht="15.75" customHeight="1">
      <c r="A480" s="133"/>
      <c r="B480" s="128"/>
      <c r="C480" s="134" t="str">
        <f>if(A480="", "", vlookup(A480+0.01, 'SEO Implementation Checklist'!$B:$E, counta('SEO Implementation Checklist'!$B$2:$E$2), true))</f>
        <v/>
      </c>
      <c r="D480" s="135" t="s">
        <v>368</v>
      </c>
      <c r="E480" s="137" t="s">
        <v>369</v>
      </c>
      <c r="F480" s="138"/>
      <c r="G480" s="138"/>
      <c r="H480" s="139"/>
    </row>
    <row r="481" ht="15.75" customHeight="1">
      <c r="A481" s="133"/>
      <c r="B481" s="128"/>
      <c r="C481" s="134" t="str">
        <f>if(A481="", "", vlookup(A481+0.01, 'SEO Implementation Checklist'!$B:$E, counta('SEO Implementation Checklist'!$B$2:$E$2), true))</f>
        <v/>
      </c>
      <c r="D481" s="135" t="s">
        <v>368</v>
      </c>
      <c r="E481" s="137" t="s">
        <v>369</v>
      </c>
      <c r="F481" s="138"/>
      <c r="G481" s="138"/>
      <c r="H481" s="139"/>
    </row>
    <row r="482" ht="15.75" customHeight="1">
      <c r="A482" s="133"/>
      <c r="B482" s="128"/>
      <c r="C482" s="134" t="str">
        <f>if(A482="", "", vlookup(A482+0.01, 'SEO Implementation Checklist'!$B:$E, counta('SEO Implementation Checklist'!$B$2:$E$2), true))</f>
        <v/>
      </c>
      <c r="D482" s="135" t="s">
        <v>368</v>
      </c>
      <c r="E482" s="137" t="s">
        <v>369</v>
      </c>
      <c r="F482" s="138"/>
      <c r="G482" s="138"/>
      <c r="H482" s="139"/>
    </row>
    <row r="483" ht="15.75" customHeight="1">
      <c r="A483" s="133"/>
      <c r="B483" s="128"/>
      <c r="C483" s="134" t="str">
        <f>if(A483="", "", vlookup(A483+0.01, 'SEO Implementation Checklist'!$B:$E, counta('SEO Implementation Checklist'!$B$2:$E$2), true))</f>
        <v/>
      </c>
      <c r="D483" s="135" t="s">
        <v>368</v>
      </c>
      <c r="E483" s="137" t="s">
        <v>369</v>
      </c>
      <c r="F483" s="138"/>
      <c r="G483" s="138"/>
      <c r="H483" s="139"/>
    </row>
    <row r="484" ht="15.75" customHeight="1">
      <c r="A484" s="133"/>
      <c r="B484" s="128"/>
      <c r="C484" s="134" t="str">
        <f>if(A484="", "", vlookup(A484+0.01, 'SEO Implementation Checklist'!$B:$E, counta('SEO Implementation Checklist'!$B$2:$E$2), true))</f>
        <v/>
      </c>
      <c r="D484" s="135" t="s">
        <v>368</v>
      </c>
      <c r="E484" s="137" t="s">
        <v>369</v>
      </c>
      <c r="F484" s="138"/>
      <c r="G484" s="138"/>
      <c r="H484" s="139"/>
    </row>
    <row r="485" ht="15.75" customHeight="1">
      <c r="A485" s="133"/>
      <c r="B485" s="128"/>
      <c r="C485" s="134" t="str">
        <f>if(A485="", "", vlookup(A485+0.01, 'SEO Implementation Checklist'!$B:$E, counta('SEO Implementation Checklist'!$B$2:$E$2), true))</f>
        <v/>
      </c>
      <c r="D485" s="135" t="s">
        <v>368</v>
      </c>
      <c r="E485" s="137" t="s">
        <v>369</v>
      </c>
      <c r="F485" s="138"/>
      <c r="G485" s="138"/>
      <c r="H485" s="139"/>
    </row>
    <row r="486" ht="15.75" customHeight="1">
      <c r="A486" s="133"/>
      <c r="B486" s="128"/>
      <c r="C486" s="134" t="str">
        <f>if(A486="", "", vlookup(A486+0.01, 'SEO Implementation Checklist'!$B:$E, counta('SEO Implementation Checklist'!$B$2:$E$2), true))</f>
        <v/>
      </c>
      <c r="D486" s="135" t="s">
        <v>368</v>
      </c>
      <c r="E486" s="137" t="s">
        <v>369</v>
      </c>
      <c r="F486" s="138"/>
      <c r="G486" s="138"/>
      <c r="H486" s="139"/>
    </row>
    <row r="487" ht="15.75" customHeight="1">
      <c r="A487" s="133"/>
      <c r="B487" s="128"/>
      <c r="C487" s="134" t="str">
        <f>if(A487="", "", vlookup(A487+0.01, 'SEO Implementation Checklist'!$B:$E, counta('SEO Implementation Checklist'!$B$2:$E$2), true))</f>
        <v/>
      </c>
      <c r="D487" s="135" t="s">
        <v>368</v>
      </c>
      <c r="E487" s="137" t="s">
        <v>369</v>
      </c>
      <c r="F487" s="138"/>
      <c r="G487" s="138"/>
      <c r="H487" s="139"/>
    </row>
    <row r="488" ht="15.75" customHeight="1">
      <c r="A488" s="133"/>
      <c r="B488" s="128"/>
      <c r="C488" s="134" t="str">
        <f>if(A488="", "", vlookup(A488+0.01, 'SEO Implementation Checklist'!$B:$E, counta('SEO Implementation Checklist'!$B$2:$E$2), true))</f>
        <v/>
      </c>
      <c r="D488" s="135" t="s">
        <v>368</v>
      </c>
      <c r="E488" s="137" t="s">
        <v>369</v>
      </c>
      <c r="F488" s="138"/>
      <c r="G488" s="138"/>
      <c r="H488" s="139"/>
    </row>
    <row r="489" ht="15.75" customHeight="1">
      <c r="A489" s="133"/>
      <c r="B489" s="128"/>
      <c r="C489" s="134" t="str">
        <f>if(A489="", "", vlookup(A489+0.01, 'SEO Implementation Checklist'!$B:$E, counta('SEO Implementation Checklist'!$B$2:$E$2), true))</f>
        <v/>
      </c>
      <c r="D489" s="135" t="s">
        <v>368</v>
      </c>
      <c r="E489" s="137" t="s">
        <v>369</v>
      </c>
      <c r="F489" s="138"/>
      <c r="G489" s="138"/>
      <c r="H489" s="139"/>
    </row>
    <row r="490" ht="15.75" customHeight="1">
      <c r="A490" s="133"/>
      <c r="B490" s="128"/>
      <c r="C490" s="134" t="str">
        <f>if(A490="", "", vlookup(A490+0.01, 'SEO Implementation Checklist'!$B:$E, counta('SEO Implementation Checklist'!$B$2:$E$2), true))</f>
        <v/>
      </c>
      <c r="D490" s="135" t="s">
        <v>368</v>
      </c>
      <c r="E490" s="137" t="s">
        <v>369</v>
      </c>
      <c r="F490" s="138"/>
      <c r="G490" s="138"/>
      <c r="H490" s="139"/>
    </row>
    <row r="491" ht="15.75" customHeight="1">
      <c r="A491" s="133"/>
      <c r="B491" s="128"/>
      <c r="C491" s="134" t="str">
        <f>if(A491="", "", vlookup(A491+0.01, 'SEO Implementation Checklist'!$B:$E, counta('SEO Implementation Checklist'!$B$2:$E$2), true))</f>
        <v/>
      </c>
      <c r="D491" s="135" t="s">
        <v>368</v>
      </c>
      <c r="E491" s="137" t="s">
        <v>369</v>
      </c>
      <c r="F491" s="138"/>
      <c r="G491" s="138"/>
      <c r="H491" s="139"/>
    </row>
    <row r="492" ht="15.75" customHeight="1">
      <c r="A492" s="133"/>
      <c r="B492" s="128"/>
      <c r="C492" s="134" t="str">
        <f>if(A492="", "", vlookup(A492+0.01, 'SEO Implementation Checklist'!$B:$E, counta('SEO Implementation Checklist'!$B$2:$E$2), true))</f>
        <v/>
      </c>
      <c r="D492" s="135" t="s">
        <v>368</v>
      </c>
      <c r="E492" s="137" t="s">
        <v>369</v>
      </c>
      <c r="F492" s="138"/>
      <c r="G492" s="138"/>
      <c r="H492" s="139"/>
    </row>
    <row r="493" ht="15.75" customHeight="1">
      <c r="A493" s="133"/>
      <c r="B493" s="128"/>
      <c r="C493" s="134" t="str">
        <f>if(A493="", "", vlookup(A493+0.01, 'SEO Implementation Checklist'!$B:$E, counta('SEO Implementation Checklist'!$B$2:$E$2), true))</f>
        <v/>
      </c>
      <c r="D493" s="135" t="s">
        <v>368</v>
      </c>
      <c r="E493" s="137" t="s">
        <v>369</v>
      </c>
      <c r="F493" s="138"/>
      <c r="G493" s="138"/>
      <c r="H493" s="139"/>
    </row>
    <row r="494" ht="15.75" customHeight="1">
      <c r="A494" s="133"/>
      <c r="B494" s="128"/>
      <c r="C494" s="134" t="str">
        <f>if(A494="", "", vlookup(A494+0.01, 'SEO Implementation Checklist'!$B:$E, counta('SEO Implementation Checklist'!$B$2:$E$2), true))</f>
        <v/>
      </c>
      <c r="D494" s="135" t="s">
        <v>368</v>
      </c>
      <c r="E494" s="137" t="s">
        <v>369</v>
      </c>
      <c r="F494" s="138"/>
      <c r="G494" s="138"/>
      <c r="H494" s="139"/>
    </row>
    <row r="495" ht="15.75" customHeight="1">
      <c r="A495" s="133"/>
      <c r="B495" s="128"/>
      <c r="C495" s="134" t="str">
        <f>if(A495="", "", vlookup(A495+0.01, 'SEO Implementation Checklist'!$B:$E, counta('SEO Implementation Checklist'!$B$2:$E$2), true))</f>
        <v/>
      </c>
      <c r="D495" s="135" t="s">
        <v>368</v>
      </c>
      <c r="E495" s="137" t="s">
        <v>369</v>
      </c>
      <c r="F495" s="138"/>
      <c r="G495" s="138"/>
      <c r="H495" s="139"/>
    </row>
    <row r="496" ht="15.75" customHeight="1">
      <c r="A496" s="133"/>
      <c r="B496" s="128"/>
      <c r="C496" s="134" t="str">
        <f>if(A496="", "", vlookup(A496+0.01, 'SEO Implementation Checklist'!$B:$E, counta('SEO Implementation Checklist'!$B$2:$E$2), true))</f>
        <v/>
      </c>
      <c r="D496" s="135" t="s">
        <v>368</v>
      </c>
      <c r="E496" s="137" t="s">
        <v>369</v>
      </c>
      <c r="F496" s="138"/>
      <c r="G496" s="138"/>
      <c r="H496" s="139"/>
    </row>
    <row r="497" ht="15.75" customHeight="1">
      <c r="A497" s="133"/>
      <c r="B497" s="128"/>
      <c r="C497" s="134" t="str">
        <f>if(A497="", "", vlookup(A497+0.01, 'SEO Implementation Checklist'!$B:$E, counta('SEO Implementation Checklist'!$B$2:$E$2), true))</f>
        <v/>
      </c>
      <c r="D497" s="135" t="s">
        <v>368</v>
      </c>
      <c r="E497" s="137" t="s">
        <v>369</v>
      </c>
      <c r="F497" s="138"/>
      <c r="G497" s="138"/>
      <c r="H497" s="139"/>
    </row>
    <row r="498" ht="15.75" customHeight="1">
      <c r="A498" s="133"/>
      <c r="B498" s="128"/>
      <c r="C498" s="134" t="str">
        <f>if(A498="", "", vlookup(A498+0.01, 'SEO Implementation Checklist'!$B:$E, counta('SEO Implementation Checklist'!$B$2:$E$2), true))</f>
        <v/>
      </c>
      <c r="D498" s="135" t="s">
        <v>368</v>
      </c>
      <c r="E498" s="137" t="s">
        <v>369</v>
      </c>
      <c r="F498" s="138"/>
      <c r="G498" s="138"/>
      <c r="H498" s="139"/>
    </row>
    <row r="499" ht="15.75" customHeight="1">
      <c r="A499" s="133"/>
      <c r="B499" s="128"/>
      <c r="C499" s="134" t="str">
        <f>if(A499="", "", vlookup(A499+0.01, 'SEO Implementation Checklist'!$B:$E, counta('SEO Implementation Checklist'!$B$2:$E$2), true))</f>
        <v/>
      </c>
      <c r="D499" s="135" t="s">
        <v>368</v>
      </c>
      <c r="E499" s="137" t="s">
        <v>369</v>
      </c>
      <c r="F499" s="138"/>
      <c r="G499" s="138"/>
      <c r="H499" s="139"/>
    </row>
    <row r="500" ht="15.75" customHeight="1">
      <c r="A500" s="133"/>
      <c r="B500" s="128"/>
      <c r="C500" s="134" t="str">
        <f>if(A500="", "", vlookup(A500+0.01, 'SEO Implementation Checklist'!$B:$E, counta('SEO Implementation Checklist'!$B$2:$E$2), true))</f>
        <v/>
      </c>
      <c r="D500" s="135" t="s">
        <v>368</v>
      </c>
      <c r="E500" s="137" t="s">
        <v>369</v>
      </c>
      <c r="F500" s="138"/>
      <c r="G500" s="138"/>
      <c r="H500" s="139"/>
    </row>
    <row r="501" ht="15.75" customHeight="1">
      <c r="A501" s="133"/>
      <c r="B501" s="128"/>
      <c r="C501" s="134" t="str">
        <f>if(A501="", "", vlookup(A501+0.01, 'SEO Implementation Checklist'!$B:$E, counta('SEO Implementation Checklist'!$B$2:$E$2), true))</f>
        <v/>
      </c>
      <c r="D501" s="135" t="s">
        <v>368</v>
      </c>
      <c r="E501" s="137" t="s">
        <v>369</v>
      </c>
      <c r="F501" s="138"/>
      <c r="G501" s="138"/>
      <c r="H501" s="139"/>
    </row>
    <row r="502" ht="15.75" customHeight="1">
      <c r="A502" s="133"/>
      <c r="B502" s="128"/>
      <c r="C502" s="134" t="str">
        <f>if(A502="", "", vlookup(A502+0.01, 'SEO Implementation Checklist'!$B:$E, counta('SEO Implementation Checklist'!$B$2:$E$2), true))</f>
        <v/>
      </c>
      <c r="D502" s="135" t="s">
        <v>368</v>
      </c>
      <c r="E502" s="137" t="s">
        <v>369</v>
      </c>
      <c r="F502" s="138"/>
      <c r="G502" s="138"/>
      <c r="H502" s="139"/>
    </row>
    <row r="503" ht="15.75" customHeight="1">
      <c r="A503" s="133"/>
      <c r="B503" s="128"/>
      <c r="C503" s="134" t="str">
        <f>if(A503="", "", vlookup(A503+0.01, 'SEO Implementation Checklist'!$B:$E, counta('SEO Implementation Checklist'!$B$2:$E$2), true))</f>
        <v/>
      </c>
      <c r="D503" s="135" t="s">
        <v>368</v>
      </c>
      <c r="E503" s="137" t="s">
        <v>369</v>
      </c>
      <c r="F503" s="138"/>
      <c r="G503" s="138"/>
      <c r="H503" s="139"/>
    </row>
    <row r="504" ht="15.75" customHeight="1">
      <c r="A504" s="133"/>
      <c r="B504" s="128"/>
      <c r="C504" s="134" t="str">
        <f>if(A504="", "", vlookup(A504+0.01, 'SEO Implementation Checklist'!$B:$E, counta('SEO Implementation Checklist'!$B$2:$E$2), true))</f>
        <v/>
      </c>
      <c r="D504" s="135" t="s">
        <v>368</v>
      </c>
      <c r="E504" s="137" t="s">
        <v>369</v>
      </c>
      <c r="F504" s="138"/>
      <c r="G504" s="138"/>
      <c r="H504" s="139"/>
    </row>
    <row r="505" ht="15.75" customHeight="1">
      <c r="A505" s="133"/>
      <c r="B505" s="128"/>
      <c r="C505" s="134" t="str">
        <f>if(A505="", "", vlookup(A505+0.01, 'SEO Implementation Checklist'!$B:$E, counta('SEO Implementation Checklist'!$B$2:$E$2), true))</f>
        <v/>
      </c>
      <c r="D505" s="135" t="s">
        <v>368</v>
      </c>
      <c r="E505" s="137" t="s">
        <v>369</v>
      </c>
      <c r="F505" s="138"/>
      <c r="G505" s="138"/>
      <c r="H505" s="139"/>
    </row>
    <row r="506" ht="15.75" customHeight="1">
      <c r="A506" s="133"/>
      <c r="B506" s="128"/>
      <c r="C506" s="134" t="str">
        <f>if(A506="", "", vlookup(A506+0.01, 'SEO Implementation Checklist'!$B:$E, counta('SEO Implementation Checklist'!$B$2:$E$2), true))</f>
        <v/>
      </c>
      <c r="D506" s="135" t="s">
        <v>368</v>
      </c>
      <c r="E506" s="137" t="s">
        <v>369</v>
      </c>
      <c r="F506" s="138"/>
      <c r="G506" s="138"/>
      <c r="H506" s="139"/>
    </row>
    <row r="507" ht="15.75" customHeight="1">
      <c r="A507" s="133"/>
      <c r="B507" s="128"/>
      <c r="C507" s="134" t="str">
        <f>if(A507="", "", vlookup(A507+0.01, 'SEO Implementation Checklist'!$B:$E, counta('SEO Implementation Checklist'!$B$2:$E$2), true))</f>
        <v/>
      </c>
      <c r="D507" s="135" t="s">
        <v>368</v>
      </c>
      <c r="E507" s="137" t="s">
        <v>369</v>
      </c>
      <c r="F507" s="138"/>
      <c r="G507" s="138"/>
      <c r="H507" s="139"/>
    </row>
    <row r="508" ht="15.75" customHeight="1">
      <c r="A508" s="133"/>
      <c r="B508" s="128"/>
      <c r="C508" s="134" t="str">
        <f>if(A508="", "", vlookup(A508+0.01, 'SEO Implementation Checklist'!$B:$E, counta('SEO Implementation Checklist'!$B$2:$E$2), true))</f>
        <v/>
      </c>
      <c r="D508" s="135" t="s">
        <v>368</v>
      </c>
      <c r="E508" s="137" t="s">
        <v>369</v>
      </c>
      <c r="F508" s="138"/>
      <c r="G508" s="138"/>
      <c r="H508" s="139"/>
    </row>
    <row r="509" ht="15.75" customHeight="1">
      <c r="A509" s="133"/>
      <c r="B509" s="128"/>
      <c r="C509" s="134" t="str">
        <f>if(A509="", "", vlookup(A509+0.01, 'SEO Implementation Checklist'!$B:$E, counta('SEO Implementation Checklist'!$B$2:$E$2), true))</f>
        <v/>
      </c>
      <c r="D509" s="135" t="s">
        <v>368</v>
      </c>
      <c r="E509" s="137" t="s">
        <v>369</v>
      </c>
      <c r="F509" s="138"/>
      <c r="G509" s="138"/>
      <c r="H509" s="139"/>
    </row>
    <row r="510" ht="15.75" customHeight="1">
      <c r="A510" s="133"/>
      <c r="B510" s="128"/>
      <c r="C510" s="134" t="str">
        <f>if(A510="", "", vlookup(A510+0.01, 'SEO Implementation Checklist'!$B:$E, counta('SEO Implementation Checklist'!$B$2:$E$2), true))</f>
        <v/>
      </c>
      <c r="D510" s="135" t="s">
        <v>368</v>
      </c>
      <c r="E510" s="137" t="s">
        <v>369</v>
      </c>
      <c r="F510" s="138"/>
      <c r="G510" s="138"/>
      <c r="H510" s="139"/>
    </row>
    <row r="511" ht="15.75" customHeight="1">
      <c r="A511" s="133"/>
      <c r="B511" s="128"/>
      <c r="C511" s="134" t="str">
        <f>if(A511="", "", vlookup(A511+0.01, 'SEO Implementation Checklist'!$B:$E, counta('SEO Implementation Checklist'!$B$2:$E$2), true))</f>
        <v/>
      </c>
      <c r="D511" s="135" t="s">
        <v>368</v>
      </c>
      <c r="E511" s="137" t="s">
        <v>369</v>
      </c>
      <c r="F511" s="138"/>
      <c r="G511" s="138"/>
      <c r="H511" s="139"/>
    </row>
    <row r="512" ht="15.75" customHeight="1">
      <c r="A512" s="133"/>
      <c r="B512" s="128"/>
      <c r="C512" s="134" t="str">
        <f>if(A512="", "", vlookup(A512+0.01, 'SEO Implementation Checklist'!$B:$E, counta('SEO Implementation Checklist'!$B$2:$E$2), true))</f>
        <v/>
      </c>
      <c r="D512" s="135" t="s">
        <v>368</v>
      </c>
      <c r="E512" s="137" t="s">
        <v>369</v>
      </c>
      <c r="F512" s="138"/>
      <c r="G512" s="138"/>
      <c r="H512" s="139"/>
    </row>
    <row r="513" ht="15.75" customHeight="1">
      <c r="A513" s="133"/>
      <c r="B513" s="128"/>
      <c r="C513" s="134" t="str">
        <f>if(A513="", "", vlookup(A513+0.01, 'SEO Implementation Checklist'!$B:$E, counta('SEO Implementation Checklist'!$B$2:$E$2), true))</f>
        <v/>
      </c>
      <c r="D513" s="135" t="s">
        <v>368</v>
      </c>
      <c r="E513" s="137" t="s">
        <v>369</v>
      </c>
      <c r="F513" s="138"/>
      <c r="G513" s="138"/>
      <c r="H513" s="139"/>
    </row>
    <row r="514" ht="15.75" customHeight="1">
      <c r="A514" s="133"/>
      <c r="B514" s="128"/>
      <c r="C514" s="134" t="str">
        <f>if(A514="", "", vlookup(A514+0.01, 'SEO Implementation Checklist'!$B:$E, counta('SEO Implementation Checklist'!$B$2:$E$2), true))</f>
        <v/>
      </c>
      <c r="D514" s="135" t="s">
        <v>368</v>
      </c>
      <c r="E514" s="137" t="s">
        <v>369</v>
      </c>
      <c r="F514" s="138"/>
      <c r="G514" s="138"/>
      <c r="H514" s="139"/>
    </row>
    <row r="515" ht="15.75" customHeight="1">
      <c r="A515" s="133"/>
      <c r="B515" s="128"/>
      <c r="C515" s="134" t="str">
        <f>if(A515="", "", vlookup(A515+0.01, 'SEO Implementation Checklist'!$B:$E, counta('SEO Implementation Checklist'!$B$2:$E$2), true))</f>
        <v/>
      </c>
      <c r="D515" s="135" t="s">
        <v>368</v>
      </c>
      <c r="E515" s="137" t="s">
        <v>369</v>
      </c>
      <c r="F515" s="138"/>
      <c r="G515" s="138"/>
      <c r="H515" s="139"/>
    </row>
    <row r="516" ht="15.75" customHeight="1">
      <c r="A516" s="133"/>
      <c r="B516" s="128"/>
      <c r="C516" s="134" t="str">
        <f>if(A516="", "", vlookup(A516+0.01, 'SEO Implementation Checklist'!$B:$E, counta('SEO Implementation Checklist'!$B$2:$E$2), true))</f>
        <v/>
      </c>
      <c r="D516" s="135" t="s">
        <v>368</v>
      </c>
      <c r="E516" s="137" t="s">
        <v>369</v>
      </c>
      <c r="F516" s="138"/>
      <c r="G516" s="138"/>
      <c r="H516" s="139"/>
    </row>
    <row r="517" ht="15.75" customHeight="1">
      <c r="A517" s="133"/>
      <c r="B517" s="128"/>
      <c r="C517" s="134" t="str">
        <f>if(A517="", "", vlookup(A517+0.01, 'SEO Implementation Checklist'!$B:$E, counta('SEO Implementation Checklist'!$B$2:$E$2), true))</f>
        <v/>
      </c>
      <c r="D517" s="135" t="s">
        <v>368</v>
      </c>
      <c r="E517" s="137" t="s">
        <v>369</v>
      </c>
      <c r="F517" s="138"/>
      <c r="G517" s="138"/>
      <c r="H517" s="139"/>
    </row>
    <row r="518" ht="15.75" customHeight="1">
      <c r="A518" s="133"/>
      <c r="B518" s="128"/>
      <c r="C518" s="134" t="str">
        <f>if(A518="", "", vlookup(A518+0.01, 'SEO Implementation Checklist'!$B:$E, counta('SEO Implementation Checklist'!$B$2:$E$2), true))</f>
        <v/>
      </c>
      <c r="D518" s="135" t="s">
        <v>368</v>
      </c>
      <c r="E518" s="137" t="s">
        <v>369</v>
      </c>
      <c r="F518" s="138"/>
      <c r="G518" s="138"/>
      <c r="H518" s="139"/>
    </row>
    <row r="519" ht="15.75" customHeight="1">
      <c r="A519" s="133"/>
      <c r="B519" s="128"/>
      <c r="C519" s="134" t="str">
        <f>if(A519="", "", vlookup(A519+0.01, 'SEO Implementation Checklist'!$B:$E, counta('SEO Implementation Checklist'!$B$2:$E$2), true))</f>
        <v/>
      </c>
      <c r="D519" s="135" t="s">
        <v>368</v>
      </c>
      <c r="E519" s="137" t="s">
        <v>369</v>
      </c>
      <c r="F519" s="138"/>
      <c r="G519" s="138"/>
      <c r="H519" s="139"/>
    </row>
    <row r="520" ht="15.75" customHeight="1">
      <c r="A520" s="133"/>
      <c r="B520" s="128"/>
      <c r="C520" s="134" t="str">
        <f>if(A520="", "", vlookup(A520+0.01, 'SEO Implementation Checklist'!$B:$E, counta('SEO Implementation Checklist'!$B$2:$E$2), true))</f>
        <v/>
      </c>
      <c r="D520" s="135" t="s">
        <v>368</v>
      </c>
      <c r="E520" s="137" t="s">
        <v>369</v>
      </c>
      <c r="F520" s="138"/>
      <c r="G520" s="138"/>
      <c r="H520" s="139"/>
    </row>
    <row r="521" ht="15.75" customHeight="1">
      <c r="A521" s="133"/>
      <c r="B521" s="128"/>
      <c r="C521" s="134" t="str">
        <f>if(A521="", "", vlookup(A521+0.01, 'SEO Implementation Checklist'!$B:$E, counta('SEO Implementation Checklist'!$B$2:$E$2), true))</f>
        <v/>
      </c>
      <c r="D521" s="135" t="s">
        <v>368</v>
      </c>
      <c r="E521" s="137" t="s">
        <v>369</v>
      </c>
      <c r="F521" s="138"/>
      <c r="G521" s="138"/>
      <c r="H521" s="139"/>
    </row>
    <row r="522" ht="15.75" customHeight="1">
      <c r="A522" s="133"/>
      <c r="B522" s="128"/>
      <c r="C522" s="134" t="str">
        <f>if(A522="", "", vlookup(A522+0.01, 'SEO Implementation Checklist'!$B:$E, counta('SEO Implementation Checklist'!$B$2:$E$2), true))</f>
        <v/>
      </c>
      <c r="D522" s="135" t="s">
        <v>368</v>
      </c>
      <c r="E522" s="137" t="s">
        <v>369</v>
      </c>
      <c r="F522" s="138"/>
      <c r="G522" s="138"/>
      <c r="H522" s="139"/>
    </row>
    <row r="523" ht="15.75" customHeight="1">
      <c r="A523" s="133"/>
      <c r="B523" s="128"/>
      <c r="C523" s="134" t="str">
        <f>if(A523="", "", vlookup(A523+0.01, 'SEO Implementation Checklist'!$B:$E, counta('SEO Implementation Checklist'!$B$2:$E$2), true))</f>
        <v/>
      </c>
      <c r="D523" s="135" t="s">
        <v>368</v>
      </c>
      <c r="E523" s="137" t="s">
        <v>369</v>
      </c>
      <c r="F523" s="138"/>
      <c r="G523" s="138"/>
      <c r="H523" s="139"/>
    </row>
    <row r="524" ht="15.75" customHeight="1">
      <c r="A524" s="133"/>
      <c r="B524" s="128"/>
      <c r="C524" s="134" t="str">
        <f>if(A524="", "", vlookup(A524+0.01, 'SEO Implementation Checklist'!$B:$E, counta('SEO Implementation Checklist'!$B$2:$E$2), true))</f>
        <v/>
      </c>
      <c r="D524" s="135" t="s">
        <v>368</v>
      </c>
      <c r="E524" s="137" t="s">
        <v>369</v>
      </c>
      <c r="F524" s="138"/>
      <c r="G524" s="138"/>
      <c r="H524" s="139"/>
    </row>
    <row r="525" ht="15.75" customHeight="1">
      <c r="A525" s="133"/>
      <c r="B525" s="128"/>
      <c r="C525" s="134" t="str">
        <f>if(A525="", "", vlookup(A525+0.01, 'SEO Implementation Checklist'!$B:$E, counta('SEO Implementation Checklist'!$B$2:$E$2), true))</f>
        <v/>
      </c>
      <c r="D525" s="135" t="s">
        <v>368</v>
      </c>
      <c r="E525" s="137" t="s">
        <v>369</v>
      </c>
      <c r="F525" s="138"/>
      <c r="G525" s="138"/>
      <c r="H525" s="139"/>
    </row>
    <row r="526" ht="15.75" customHeight="1">
      <c r="A526" s="133"/>
      <c r="B526" s="128"/>
      <c r="C526" s="134" t="str">
        <f>if(A526="", "", vlookup(A526+0.01, 'SEO Implementation Checklist'!$B:$E, counta('SEO Implementation Checklist'!$B$2:$E$2), true))</f>
        <v/>
      </c>
      <c r="D526" s="135" t="s">
        <v>368</v>
      </c>
      <c r="E526" s="137" t="s">
        <v>369</v>
      </c>
      <c r="F526" s="138"/>
      <c r="G526" s="138"/>
      <c r="H526" s="139"/>
    </row>
    <row r="527" ht="15.75" customHeight="1">
      <c r="A527" s="133"/>
      <c r="B527" s="128"/>
      <c r="C527" s="134" t="str">
        <f>if(A527="", "", vlookup(A527+0.01, 'SEO Implementation Checklist'!$B:$E, counta('SEO Implementation Checklist'!$B$2:$E$2), true))</f>
        <v/>
      </c>
      <c r="D527" s="135" t="s">
        <v>368</v>
      </c>
      <c r="E527" s="137" t="s">
        <v>369</v>
      </c>
      <c r="F527" s="138"/>
      <c r="G527" s="138"/>
      <c r="H527" s="139"/>
    </row>
    <row r="528" ht="15.75" customHeight="1">
      <c r="A528" s="133"/>
      <c r="B528" s="128"/>
      <c r="C528" s="134" t="str">
        <f>if(A528="", "", vlookup(A528+0.01, 'SEO Implementation Checklist'!$B:$E, counta('SEO Implementation Checklist'!$B$2:$E$2), true))</f>
        <v/>
      </c>
      <c r="D528" s="135" t="s">
        <v>368</v>
      </c>
      <c r="E528" s="137" t="s">
        <v>369</v>
      </c>
      <c r="F528" s="138"/>
      <c r="G528" s="138"/>
      <c r="H528" s="139"/>
    </row>
    <row r="529" ht="15.75" customHeight="1">
      <c r="A529" s="133"/>
      <c r="B529" s="128"/>
      <c r="C529" s="134" t="str">
        <f>if(A529="", "", vlookup(A529+0.01, 'SEO Implementation Checklist'!$B:$E, counta('SEO Implementation Checklist'!$B$2:$E$2), true))</f>
        <v/>
      </c>
      <c r="D529" s="135" t="s">
        <v>368</v>
      </c>
      <c r="E529" s="137" t="s">
        <v>369</v>
      </c>
      <c r="F529" s="138"/>
      <c r="G529" s="138"/>
      <c r="H529" s="139"/>
    </row>
    <row r="530" ht="15.75" customHeight="1">
      <c r="A530" s="133"/>
      <c r="B530" s="128"/>
      <c r="C530" s="134" t="str">
        <f>if(A530="", "", vlookup(A530+0.01, 'SEO Implementation Checklist'!$B:$E, counta('SEO Implementation Checklist'!$B$2:$E$2), true))</f>
        <v/>
      </c>
      <c r="D530" s="135" t="s">
        <v>368</v>
      </c>
      <c r="E530" s="137" t="s">
        <v>369</v>
      </c>
      <c r="F530" s="138"/>
      <c r="G530" s="138"/>
      <c r="H530" s="139"/>
    </row>
    <row r="531" ht="15.75" customHeight="1">
      <c r="A531" s="133"/>
      <c r="B531" s="128"/>
      <c r="C531" s="134" t="str">
        <f>if(A531="", "", vlookup(A531+0.01, 'SEO Implementation Checklist'!$B:$E, counta('SEO Implementation Checklist'!$B$2:$E$2), true))</f>
        <v/>
      </c>
      <c r="D531" s="135" t="s">
        <v>368</v>
      </c>
      <c r="E531" s="137" t="s">
        <v>369</v>
      </c>
      <c r="F531" s="138"/>
      <c r="G531" s="138"/>
      <c r="H531" s="139"/>
    </row>
    <row r="532" ht="15.75" customHeight="1">
      <c r="A532" s="133"/>
      <c r="B532" s="128"/>
      <c r="C532" s="134" t="str">
        <f>if(A532="", "", vlookup(A532+0.01, 'SEO Implementation Checklist'!$B:$E, counta('SEO Implementation Checklist'!$B$2:$E$2), true))</f>
        <v/>
      </c>
      <c r="D532" s="135" t="s">
        <v>368</v>
      </c>
      <c r="E532" s="137" t="s">
        <v>369</v>
      </c>
      <c r="F532" s="138"/>
      <c r="G532" s="138"/>
      <c r="H532" s="139"/>
    </row>
    <row r="533" ht="15.75" customHeight="1">
      <c r="A533" s="133"/>
      <c r="B533" s="128"/>
      <c r="C533" s="134" t="str">
        <f>if(A533="", "", vlookup(A533+0.01, 'SEO Implementation Checklist'!$B:$E, counta('SEO Implementation Checklist'!$B$2:$E$2), true))</f>
        <v/>
      </c>
      <c r="D533" s="135" t="s">
        <v>368</v>
      </c>
      <c r="E533" s="137" t="s">
        <v>369</v>
      </c>
      <c r="F533" s="138"/>
      <c r="G533" s="138"/>
      <c r="H533" s="139"/>
    </row>
    <row r="534" ht="15.75" customHeight="1">
      <c r="A534" s="133"/>
      <c r="B534" s="128"/>
      <c r="C534" s="134" t="str">
        <f>if(A534="", "", vlookup(A534+0.01, 'SEO Implementation Checklist'!$B:$E, counta('SEO Implementation Checklist'!$B$2:$E$2), true))</f>
        <v/>
      </c>
      <c r="D534" s="135" t="s">
        <v>368</v>
      </c>
      <c r="E534" s="137" t="s">
        <v>369</v>
      </c>
      <c r="F534" s="138"/>
      <c r="G534" s="138"/>
      <c r="H534" s="139"/>
    </row>
    <row r="535" ht="15.75" customHeight="1">
      <c r="A535" s="133"/>
      <c r="B535" s="128"/>
      <c r="C535" s="134" t="str">
        <f>if(A535="", "", vlookup(A535+0.01, 'SEO Implementation Checklist'!$B:$E, counta('SEO Implementation Checklist'!$B$2:$E$2), true))</f>
        <v/>
      </c>
      <c r="D535" s="135" t="s">
        <v>368</v>
      </c>
      <c r="E535" s="137" t="s">
        <v>369</v>
      </c>
      <c r="F535" s="138"/>
      <c r="G535" s="138"/>
      <c r="H535" s="139"/>
    </row>
    <row r="536" ht="15.75" customHeight="1">
      <c r="A536" s="133"/>
      <c r="B536" s="128"/>
      <c r="C536" s="134" t="str">
        <f>if(A536="", "", vlookup(A536+0.01, 'SEO Implementation Checklist'!$B:$E, counta('SEO Implementation Checklist'!$B$2:$E$2), true))</f>
        <v/>
      </c>
      <c r="D536" s="135" t="s">
        <v>368</v>
      </c>
      <c r="E536" s="137" t="s">
        <v>369</v>
      </c>
      <c r="F536" s="138"/>
      <c r="G536" s="138"/>
      <c r="H536" s="139"/>
    </row>
    <row r="537" ht="15.75" customHeight="1">
      <c r="A537" s="133"/>
      <c r="B537" s="128"/>
      <c r="C537" s="134" t="str">
        <f>if(A537="", "", vlookup(A537+0.01, 'SEO Implementation Checklist'!$B:$E, counta('SEO Implementation Checklist'!$B$2:$E$2), true))</f>
        <v/>
      </c>
      <c r="D537" s="135" t="s">
        <v>368</v>
      </c>
      <c r="E537" s="137" t="s">
        <v>369</v>
      </c>
      <c r="F537" s="138"/>
      <c r="G537" s="138"/>
      <c r="H537" s="139"/>
    </row>
    <row r="538" ht="15.75" customHeight="1">
      <c r="A538" s="133"/>
      <c r="B538" s="128"/>
      <c r="C538" s="134" t="str">
        <f>if(A538="", "", vlookup(A538+0.01, 'SEO Implementation Checklist'!$B:$E, counta('SEO Implementation Checklist'!$B$2:$E$2), true))</f>
        <v/>
      </c>
      <c r="D538" s="135" t="s">
        <v>368</v>
      </c>
      <c r="E538" s="137" t="s">
        <v>369</v>
      </c>
      <c r="F538" s="138"/>
      <c r="G538" s="138"/>
      <c r="H538" s="139"/>
    </row>
    <row r="539" ht="15.75" customHeight="1">
      <c r="A539" s="133"/>
      <c r="B539" s="128"/>
      <c r="C539" s="134" t="str">
        <f>if(A539="", "", vlookup(A539+0.01, 'SEO Implementation Checklist'!$B:$E, counta('SEO Implementation Checklist'!$B$2:$E$2), true))</f>
        <v/>
      </c>
      <c r="D539" s="135" t="s">
        <v>368</v>
      </c>
      <c r="E539" s="137" t="s">
        <v>369</v>
      </c>
      <c r="F539" s="138"/>
      <c r="G539" s="138"/>
      <c r="H539" s="139"/>
    </row>
    <row r="540" ht="15.75" customHeight="1">
      <c r="A540" s="133"/>
      <c r="B540" s="128"/>
      <c r="C540" s="134" t="str">
        <f>if(A540="", "", vlookup(A540+0.01, 'SEO Implementation Checklist'!$B:$E, counta('SEO Implementation Checklist'!$B$2:$E$2), true))</f>
        <v/>
      </c>
      <c r="D540" s="135" t="s">
        <v>368</v>
      </c>
      <c r="E540" s="137" t="s">
        <v>369</v>
      </c>
      <c r="F540" s="138"/>
      <c r="G540" s="138"/>
      <c r="H540" s="139"/>
    </row>
    <row r="541" ht="15.75" customHeight="1">
      <c r="A541" s="133"/>
      <c r="B541" s="128"/>
      <c r="C541" s="134" t="str">
        <f>if(A541="", "", vlookup(A541+0.01, 'SEO Implementation Checklist'!$B:$E, counta('SEO Implementation Checklist'!$B$2:$E$2), true))</f>
        <v/>
      </c>
      <c r="D541" s="135" t="s">
        <v>368</v>
      </c>
      <c r="E541" s="137" t="s">
        <v>369</v>
      </c>
      <c r="F541" s="138"/>
      <c r="G541" s="138"/>
      <c r="H541" s="139"/>
    </row>
    <row r="542" ht="15.75" customHeight="1">
      <c r="A542" s="133"/>
      <c r="B542" s="128"/>
      <c r="C542" s="134" t="str">
        <f>if(A542="", "", vlookup(A542+0.01, 'SEO Implementation Checklist'!$B:$E, counta('SEO Implementation Checklist'!$B$2:$E$2), true))</f>
        <v/>
      </c>
      <c r="D542" s="135" t="s">
        <v>368</v>
      </c>
      <c r="E542" s="137" t="s">
        <v>369</v>
      </c>
      <c r="F542" s="138"/>
      <c r="G542" s="138"/>
      <c r="H542" s="139"/>
    </row>
    <row r="543" ht="15.75" customHeight="1">
      <c r="A543" s="133"/>
      <c r="B543" s="128"/>
      <c r="C543" s="134" t="str">
        <f>if(A543="", "", vlookup(A543+0.01, 'SEO Implementation Checklist'!$B:$E, counta('SEO Implementation Checklist'!$B$2:$E$2), true))</f>
        <v/>
      </c>
      <c r="D543" s="135" t="s">
        <v>368</v>
      </c>
      <c r="E543" s="137" t="s">
        <v>369</v>
      </c>
      <c r="F543" s="138"/>
      <c r="G543" s="138"/>
      <c r="H543" s="139"/>
    </row>
    <row r="544" ht="15.75" customHeight="1">
      <c r="A544" s="133"/>
      <c r="B544" s="128"/>
      <c r="C544" s="134" t="str">
        <f>if(A544="", "", vlookup(A544+0.01, 'SEO Implementation Checklist'!$B:$E, counta('SEO Implementation Checklist'!$B$2:$E$2), true))</f>
        <v/>
      </c>
      <c r="D544" s="135" t="s">
        <v>368</v>
      </c>
      <c r="E544" s="137" t="s">
        <v>369</v>
      </c>
      <c r="F544" s="138"/>
      <c r="G544" s="138"/>
      <c r="H544" s="139"/>
    </row>
    <row r="545" ht="15.75" customHeight="1">
      <c r="A545" s="133"/>
      <c r="B545" s="128"/>
      <c r="C545" s="134" t="str">
        <f>if(A545="", "", vlookup(A545+0.01, 'SEO Implementation Checklist'!$B:$E, counta('SEO Implementation Checklist'!$B$2:$E$2), true))</f>
        <v/>
      </c>
      <c r="D545" s="135" t="s">
        <v>368</v>
      </c>
      <c r="E545" s="137" t="s">
        <v>369</v>
      </c>
      <c r="F545" s="138"/>
      <c r="G545" s="138"/>
      <c r="H545" s="139"/>
    </row>
    <row r="546" ht="15.75" customHeight="1">
      <c r="A546" s="133"/>
      <c r="B546" s="128"/>
      <c r="C546" s="134" t="str">
        <f>if(A546="", "", vlookup(A546+0.01, 'SEO Implementation Checklist'!$B:$E, counta('SEO Implementation Checklist'!$B$2:$E$2), true))</f>
        <v/>
      </c>
      <c r="D546" s="135" t="s">
        <v>368</v>
      </c>
      <c r="E546" s="137" t="s">
        <v>369</v>
      </c>
      <c r="F546" s="138"/>
      <c r="G546" s="138"/>
      <c r="H546" s="139"/>
    </row>
    <row r="547" ht="15.75" customHeight="1">
      <c r="A547" s="133"/>
      <c r="B547" s="128"/>
      <c r="C547" s="134" t="str">
        <f>if(A547="", "", vlookup(A547+0.01, 'SEO Implementation Checklist'!$B:$E, counta('SEO Implementation Checklist'!$B$2:$E$2), true))</f>
        <v/>
      </c>
      <c r="D547" s="135" t="s">
        <v>368</v>
      </c>
      <c r="E547" s="137" t="s">
        <v>369</v>
      </c>
      <c r="F547" s="138"/>
      <c r="G547" s="138"/>
      <c r="H547" s="139"/>
    </row>
    <row r="548" ht="15.75" customHeight="1">
      <c r="A548" s="133"/>
      <c r="B548" s="128"/>
      <c r="C548" s="134" t="str">
        <f>if(A548="", "", vlookup(A548+0.01, 'SEO Implementation Checklist'!$B:$E, counta('SEO Implementation Checklist'!$B$2:$E$2), true))</f>
        <v/>
      </c>
      <c r="D548" s="135" t="s">
        <v>368</v>
      </c>
      <c r="E548" s="137" t="s">
        <v>369</v>
      </c>
      <c r="F548" s="138"/>
      <c r="G548" s="138"/>
      <c r="H548" s="139"/>
    </row>
    <row r="549" ht="15.75" customHeight="1">
      <c r="A549" s="133"/>
      <c r="B549" s="128"/>
      <c r="C549" s="134" t="str">
        <f>if(A549="", "", vlookup(A549+0.01, 'SEO Implementation Checklist'!$B:$E, counta('SEO Implementation Checklist'!$B$2:$E$2), true))</f>
        <v/>
      </c>
      <c r="D549" s="135" t="s">
        <v>368</v>
      </c>
      <c r="E549" s="137" t="s">
        <v>369</v>
      </c>
      <c r="F549" s="138"/>
      <c r="G549" s="138"/>
      <c r="H549" s="139"/>
    </row>
    <row r="550" ht="15.75" customHeight="1">
      <c r="A550" s="133"/>
      <c r="B550" s="128"/>
      <c r="C550" s="134" t="str">
        <f>if(A550="", "", vlookup(A550+0.01, 'SEO Implementation Checklist'!$B:$E, counta('SEO Implementation Checklist'!$B$2:$E$2), true))</f>
        <v/>
      </c>
      <c r="D550" s="135" t="s">
        <v>368</v>
      </c>
      <c r="E550" s="137" t="s">
        <v>369</v>
      </c>
      <c r="F550" s="138"/>
      <c r="G550" s="138"/>
      <c r="H550" s="139"/>
    </row>
    <row r="551" ht="15.75" customHeight="1">
      <c r="A551" s="133"/>
      <c r="B551" s="128"/>
      <c r="C551" s="134" t="str">
        <f>if(A551="", "", vlookup(A551+0.01, 'SEO Implementation Checklist'!$B:$E, counta('SEO Implementation Checklist'!$B$2:$E$2), true))</f>
        <v/>
      </c>
      <c r="D551" s="135" t="s">
        <v>368</v>
      </c>
      <c r="E551" s="137" t="s">
        <v>369</v>
      </c>
      <c r="F551" s="138"/>
      <c r="G551" s="138"/>
      <c r="H551" s="139"/>
    </row>
    <row r="552" ht="15.75" customHeight="1">
      <c r="A552" s="133"/>
      <c r="B552" s="128"/>
      <c r="C552" s="134" t="str">
        <f>if(A552="", "", vlookup(A552+0.01, 'SEO Implementation Checklist'!$B:$E, counta('SEO Implementation Checklist'!$B$2:$E$2), true))</f>
        <v/>
      </c>
      <c r="D552" s="135" t="s">
        <v>368</v>
      </c>
      <c r="E552" s="137" t="s">
        <v>369</v>
      </c>
      <c r="F552" s="138"/>
      <c r="G552" s="138"/>
      <c r="H552" s="139"/>
    </row>
    <row r="553" ht="15.75" customHeight="1">
      <c r="A553" s="133"/>
      <c r="B553" s="128"/>
      <c r="C553" s="134" t="str">
        <f>if(A553="", "", vlookup(A553+0.01, 'SEO Implementation Checklist'!$B:$E, counta('SEO Implementation Checklist'!$B$2:$E$2), true))</f>
        <v/>
      </c>
      <c r="D553" s="135" t="s">
        <v>368</v>
      </c>
      <c r="E553" s="137" t="s">
        <v>369</v>
      </c>
      <c r="F553" s="138"/>
      <c r="G553" s="138"/>
      <c r="H553" s="139"/>
    </row>
    <row r="554" ht="15.75" customHeight="1">
      <c r="A554" s="133"/>
      <c r="B554" s="128"/>
      <c r="C554" s="134" t="str">
        <f>if(A554="", "", vlookup(A554+0.01, 'SEO Implementation Checklist'!$B:$E, counta('SEO Implementation Checklist'!$B$2:$E$2), true))</f>
        <v/>
      </c>
      <c r="D554" s="135" t="s">
        <v>368</v>
      </c>
      <c r="E554" s="137" t="s">
        <v>369</v>
      </c>
      <c r="F554" s="138"/>
      <c r="G554" s="138"/>
      <c r="H554" s="139"/>
    </row>
    <row r="555" ht="15.75" customHeight="1">
      <c r="A555" s="133"/>
      <c r="B555" s="128"/>
      <c r="C555" s="134" t="str">
        <f>if(A555="", "", vlookup(A555+0.01, 'SEO Implementation Checklist'!$B:$E, counta('SEO Implementation Checklist'!$B$2:$E$2), true))</f>
        <v/>
      </c>
      <c r="D555" s="135" t="s">
        <v>368</v>
      </c>
      <c r="E555" s="137" t="s">
        <v>369</v>
      </c>
      <c r="F555" s="138"/>
      <c r="G555" s="138"/>
      <c r="H555" s="139"/>
    </row>
    <row r="556" ht="15.75" customHeight="1">
      <c r="A556" s="133"/>
      <c r="B556" s="128"/>
      <c r="C556" s="134" t="str">
        <f>if(A556="", "", vlookup(A556+0.01, 'SEO Implementation Checklist'!$B:$E, counta('SEO Implementation Checklist'!$B$2:$E$2), true))</f>
        <v/>
      </c>
      <c r="D556" s="135" t="s">
        <v>368</v>
      </c>
      <c r="E556" s="137" t="s">
        <v>369</v>
      </c>
      <c r="F556" s="138"/>
      <c r="G556" s="138"/>
      <c r="H556" s="139"/>
    </row>
    <row r="557" ht="15.75" customHeight="1">
      <c r="A557" s="133"/>
      <c r="B557" s="128"/>
      <c r="C557" s="134" t="str">
        <f>if(A557="", "", vlookup(A557+0.01, 'SEO Implementation Checklist'!$B:$E, counta('SEO Implementation Checklist'!$B$2:$E$2), true))</f>
        <v/>
      </c>
      <c r="D557" s="135" t="s">
        <v>368</v>
      </c>
      <c r="E557" s="137" t="s">
        <v>369</v>
      </c>
      <c r="F557" s="138"/>
      <c r="G557" s="138"/>
      <c r="H557" s="139"/>
    </row>
    <row r="558" ht="15.75" customHeight="1">
      <c r="A558" s="133"/>
      <c r="B558" s="128"/>
      <c r="C558" s="134" t="str">
        <f>if(A558="", "", vlookup(A558+0.01, 'SEO Implementation Checklist'!$B:$E, counta('SEO Implementation Checklist'!$B$2:$E$2), true))</f>
        <v/>
      </c>
      <c r="D558" s="135" t="s">
        <v>368</v>
      </c>
      <c r="E558" s="137" t="s">
        <v>369</v>
      </c>
      <c r="F558" s="138"/>
      <c r="G558" s="138"/>
      <c r="H558" s="139"/>
    </row>
    <row r="559" ht="15.75" customHeight="1">
      <c r="A559" s="133"/>
      <c r="B559" s="128"/>
      <c r="C559" s="134" t="str">
        <f>if(A559="", "", vlookup(A559+0.01, 'SEO Implementation Checklist'!$B:$E, counta('SEO Implementation Checklist'!$B$2:$E$2), true))</f>
        <v/>
      </c>
      <c r="D559" s="135" t="s">
        <v>368</v>
      </c>
      <c r="E559" s="137" t="s">
        <v>369</v>
      </c>
      <c r="F559" s="138"/>
      <c r="G559" s="138"/>
      <c r="H559" s="139"/>
    </row>
    <row r="560" ht="15.75" customHeight="1">
      <c r="A560" s="133"/>
      <c r="B560" s="128"/>
      <c r="C560" s="134" t="str">
        <f>if(A560="", "", vlookup(A560+0.01, 'SEO Implementation Checklist'!$B:$E, counta('SEO Implementation Checklist'!$B$2:$E$2), true))</f>
        <v/>
      </c>
      <c r="D560" s="135" t="s">
        <v>368</v>
      </c>
      <c r="E560" s="137" t="s">
        <v>369</v>
      </c>
      <c r="F560" s="138"/>
      <c r="G560" s="138"/>
      <c r="H560" s="139"/>
    </row>
    <row r="561" ht="15.75" customHeight="1">
      <c r="A561" s="133"/>
      <c r="B561" s="128"/>
      <c r="C561" s="134" t="str">
        <f>if(A561="", "", vlookup(A561+0.01, 'SEO Implementation Checklist'!$B:$E, counta('SEO Implementation Checklist'!$B$2:$E$2), true))</f>
        <v/>
      </c>
      <c r="D561" s="135" t="s">
        <v>368</v>
      </c>
      <c r="E561" s="137" t="s">
        <v>369</v>
      </c>
      <c r="F561" s="138"/>
      <c r="G561" s="138"/>
      <c r="H561" s="139"/>
    </row>
    <row r="562" ht="15.75" customHeight="1">
      <c r="A562" s="133"/>
      <c r="B562" s="128"/>
      <c r="C562" s="134" t="str">
        <f>if(A562="", "", vlookup(A562+0.01, 'SEO Implementation Checklist'!$B:$E, counta('SEO Implementation Checklist'!$B$2:$E$2), true))</f>
        <v/>
      </c>
      <c r="D562" s="135" t="s">
        <v>368</v>
      </c>
      <c r="E562" s="137" t="s">
        <v>369</v>
      </c>
      <c r="F562" s="138"/>
      <c r="G562" s="138"/>
      <c r="H562" s="139"/>
    </row>
    <row r="563" ht="15.75" customHeight="1">
      <c r="A563" s="133"/>
      <c r="B563" s="128"/>
      <c r="C563" s="134" t="str">
        <f>if(A563="", "", vlookup(A563+0.01, 'SEO Implementation Checklist'!$B:$E, counta('SEO Implementation Checklist'!$B$2:$E$2), true))</f>
        <v/>
      </c>
      <c r="D563" s="135" t="s">
        <v>368</v>
      </c>
      <c r="E563" s="137" t="s">
        <v>369</v>
      </c>
      <c r="F563" s="138"/>
      <c r="G563" s="138"/>
      <c r="H563" s="139"/>
    </row>
    <row r="564" ht="15.75" customHeight="1">
      <c r="A564" s="133"/>
      <c r="B564" s="128"/>
      <c r="C564" s="134" t="str">
        <f>if(A564="", "", vlookup(A564+0.01, 'SEO Implementation Checklist'!$B:$E, counta('SEO Implementation Checklist'!$B$2:$E$2), true))</f>
        <v/>
      </c>
      <c r="D564" s="135" t="s">
        <v>368</v>
      </c>
      <c r="E564" s="137" t="s">
        <v>369</v>
      </c>
      <c r="F564" s="138"/>
      <c r="G564" s="138"/>
      <c r="H564" s="139"/>
    </row>
    <row r="565" ht="15.75" customHeight="1">
      <c r="A565" s="133"/>
      <c r="B565" s="128"/>
      <c r="C565" s="134" t="str">
        <f>if(A565="", "", vlookup(A565+0.01, 'SEO Implementation Checklist'!$B:$E, counta('SEO Implementation Checklist'!$B$2:$E$2), true))</f>
        <v/>
      </c>
      <c r="D565" s="135" t="s">
        <v>368</v>
      </c>
      <c r="E565" s="137" t="s">
        <v>369</v>
      </c>
      <c r="F565" s="138"/>
      <c r="G565" s="138"/>
      <c r="H565" s="139"/>
    </row>
    <row r="566" ht="15.75" customHeight="1">
      <c r="A566" s="133"/>
      <c r="B566" s="128"/>
      <c r="C566" s="134" t="str">
        <f>if(A566="", "", vlookup(A566+0.01, 'SEO Implementation Checklist'!$B:$E, counta('SEO Implementation Checklist'!$B$2:$E$2), true))</f>
        <v/>
      </c>
      <c r="D566" s="135" t="s">
        <v>368</v>
      </c>
      <c r="E566" s="137" t="s">
        <v>369</v>
      </c>
      <c r="F566" s="138"/>
      <c r="G566" s="138"/>
      <c r="H566" s="139"/>
    </row>
    <row r="567" ht="15.75" customHeight="1">
      <c r="A567" s="133"/>
      <c r="B567" s="128"/>
      <c r="C567" s="134" t="str">
        <f>if(A567="", "", vlookup(A567+0.01, 'SEO Implementation Checklist'!$B:$E, counta('SEO Implementation Checklist'!$B$2:$E$2), true))</f>
        <v/>
      </c>
      <c r="D567" s="135" t="s">
        <v>368</v>
      </c>
      <c r="E567" s="137" t="s">
        <v>369</v>
      </c>
      <c r="F567" s="138"/>
      <c r="G567" s="138"/>
      <c r="H567" s="139"/>
    </row>
    <row r="568" ht="15.75" customHeight="1">
      <c r="A568" s="133"/>
      <c r="B568" s="128"/>
      <c r="C568" s="134" t="str">
        <f>if(A568="", "", vlookup(A568+0.01, 'SEO Implementation Checklist'!$B:$E, counta('SEO Implementation Checklist'!$B$2:$E$2), true))</f>
        <v/>
      </c>
      <c r="D568" s="135" t="s">
        <v>368</v>
      </c>
      <c r="E568" s="137" t="s">
        <v>369</v>
      </c>
      <c r="F568" s="138"/>
      <c r="G568" s="138"/>
      <c r="H568" s="139"/>
    </row>
    <row r="569" ht="15.75" customHeight="1">
      <c r="A569" s="133"/>
      <c r="B569" s="128"/>
      <c r="C569" s="134" t="str">
        <f>if(A569="", "", vlookup(A569+0.01, 'SEO Implementation Checklist'!$B:$E, counta('SEO Implementation Checklist'!$B$2:$E$2), true))</f>
        <v/>
      </c>
      <c r="D569" s="135" t="s">
        <v>368</v>
      </c>
      <c r="E569" s="137" t="s">
        <v>369</v>
      </c>
      <c r="F569" s="138"/>
      <c r="G569" s="138"/>
      <c r="H569" s="139"/>
    </row>
    <row r="570" ht="15.75" customHeight="1">
      <c r="A570" s="133"/>
      <c r="B570" s="128"/>
      <c r="C570" s="134" t="str">
        <f>if(A570="", "", vlookup(A570+0.01, 'SEO Implementation Checklist'!$B:$E, counta('SEO Implementation Checklist'!$B$2:$E$2), true))</f>
        <v/>
      </c>
      <c r="D570" s="135" t="s">
        <v>368</v>
      </c>
      <c r="E570" s="137" t="s">
        <v>369</v>
      </c>
      <c r="F570" s="138"/>
      <c r="G570" s="138"/>
      <c r="H570" s="139"/>
    </row>
    <row r="571" ht="15.75" customHeight="1">
      <c r="A571" s="133"/>
      <c r="B571" s="128"/>
      <c r="C571" s="134" t="str">
        <f>if(A571="", "", vlookup(A571+0.01, 'SEO Implementation Checklist'!$B:$E, counta('SEO Implementation Checklist'!$B$2:$E$2), true))</f>
        <v/>
      </c>
      <c r="D571" s="135" t="s">
        <v>368</v>
      </c>
      <c r="E571" s="137" t="s">
        <v>369</v>
      </c>
      <c r="F571" s="138"/>
      <c r="G571" s="138"/>
      <c r="H571" s="139"/>
    </row>
    <row r="572" ht="15.75" customHeight="1">
      <c r="A572" s="133"/>
      <c r="B572" s="128"/>
      <c r="C572" s="134" t="str">
        <f>if(A572="", "", vlookup(A572+0.01, 'SEO Implementation Checklist'!$B:$E, counta('SEO Implementation Checklist'!$B$2:$E$2), true))</f>
        <v/>
      </c>
      <c r="D572" s="135" t="s">
        <v>368</v>
      </c>
      <c r="E572" s="137" t="s">
        <v>369</v>
      </c>
      <c r="F572" s="138"/>
      <c r="G572" s="138"/>
      <c r="H572" s="139"/>
    </row>
    <row r="573" ht="15.75" customHeight="1">
      <c r="A573" s="133"/>
      <c r="B573" s="128"/>
      <c r="C573" s="134" t="str">
        <f>if(A573="", "", vlookup(A573+0.01, 'SEO Implementation Checklist'!$B:$E, counta('SEO Implementation Checklist'!$B$2:$E$2), true))</f>
        <v/>
      </c>
      <c r="D573" s="135" t="s">
        <v>368</v>
      </c>
      <c r="E573" s="137" t="s">
        <v>369</v>
      </c>
      <c r="F573" s="138"/>
      <c r="G573" s="138"/>
      <c r="H573" s="139"/>
    </row>
    <row r="574" ht="15.75" customHeight="1">
      <c r="A574" s="133"/>
      <c r="B574" s="128"/>
      <c r="C574" s="134" t="str">
        <f>if(A574="", "", vlookup(A574+0.01, 'SEO Implementation Checklist'!$B:$E, counta('SEO Implementation Checklist'!$B$2:$E$2), true))</f>
        <v/>
      </c>
      <c r="D574" s="135" t="s">
        <v>368</v>
      </c>
      <c r="E574" s="137" t="s">
        <v>369</v>
      </c>
      <c r="F574" s="138"/>
      <c r="G574" s="138"/>
      <c r="H574" s="139"/>
    </row>
    <row r="575" ht="15.75" customHeight="1">
      <c r="A575" s="133"/>
      <c r="B575" s="128"/>
      <c r="C575" s="134" t="str">
        <f>if(A575="", "", vlookup(A575+0.01, 'SEO Implementation Checklist'!$B:$E, counta('SEO Implementation Checklist'!$B$2:$E$2), true))</f>
        <v/>
      </c>
      <c r="D575" s="135" t="s">
        <v>368</v>
      </c>
      <c r="E575" s="137" t="s">
        <v>369</v>
      </c>
      <c r="F575" s="138"/>
      <c r="G575" s="138"/>
      <c r="H575" s="139"/>
    </row>
    <row r="576" ht="15.75" customHeight="1">
      <c r="A576" s="133"/>
      <c r="B576" s="128"/>
      <c r="C576" s="134" t="str">
        <f>if(A576="", "", vlookup(A576+0.01, 'SEO Implementation Checklist'!$B:$E, counta('SEO Implementation Checklist'!$B$2:$E$2), true))</f>
        <v/>
      </c>
      <c r="D576" s="135" t="s">
        <v>368</v>
      </c>
      <c r="E576" s="137" t="s">
        <v>369</v>
      </c>
      <c r="F576" s="138"/>
      <c r="G576" s="138"/>
      <c r="H576" s="139"/>
    </row>
    <row r="577" ht="15.75" customHeight="1">
      <c r="A577" s="133"/>
      <c r="B577" s="128"/>
      <c r="C577" s="134" t="str">
        <f>if(A577="", "", vlookup(A577+0.01, 'SEO Implementation Checklist'!$B:$E, counta('SEO Implementation Checklist'!$B$2:$E$2), true))</f>
        <v/>
      </c>
      <c r="D577" s="135" t="s">
        <v>368</v>
      </c>
      <c r="E577" s="137" t="s">
        <v>369</v>
      </c>
      <c r="F577" s="138"/>
      <c r="G577" s="138"/>
      <c r="H577" s="139"/>
    </row>
    <row r="578" ht="15.75" customHeight="1">
      <c r="A578" s="133"/>
      <c r="B578" s="128"/>
      <c r="C578" s="134" t="str">
        <f>if(A578="", "", vlookup(A578+0.01, 'SEO Implementation Checklist'!$B:$E, counta('SEO Implementation Checklist'!$B$2:$E$2), true))</f>
        <v/>
      </c>
      <c r="D578" s="135" t="s">
        <v>368</v>
      </c>
      <c r="E578" s="137" t="s">
        <v>369</v>
      </c>
      <c r="F578" s="138"/>
      <c r="G578" s="138"/>
      <c r="H578" s="139"/>
    </row>
    <row r="579" ht="15.75" customHeight="1">
      <c r="A579" s="133"/>
      <c r="B579" s="128"/>
      <c r="C579" s="134" t="str">
        <f>if(A579="", "", vlookup(A579+0.01, 'SEO Implementation Checklist'!$B:$E, counta('SEO Implementation Checklist'!$B$2:$E$2), true))</f>
        <v/>
      </c>
      <c r="D579" s="135" t="s">
        <v>368</v>
      </c>
      <c r="E579" s="137" t="s">
        <v>369</v>
      </c>
      <c r="F579" s="138"/>
      <c r="G579" s="138"/>
      <c r="H579" s="139"/>
    </row>
    <row r="580" ht="15.75" customHeight="1">
      <c r="A580" s="133"/>
      <c r="B580" s="128"/>
      <c r="C580" s="134" t="str">
        <f>if(A580="", "", vlookup(A580+0.01, 'SEO Implementation Checklist'!$B:$E, counta('SEO Implementation Checklist'!$B$2:$E$2), true))</f>
        <v/>
      </c>
      <c r="D580" s="135" t="s">
        <v>368</v>
      </c>
      <c r="E580" s="137" t="s">
        <v>369</v>
      </c>
      <c r="F580" s="138"/>
      <c r="G580" s="138"/>
      <c r="H580" s="139"/>
    </row>
    <row r="581" ht="15.75" customHeight="1">
      <c r="A581" s="133"/>
      <c r="B581" s="128"/>
      <c r="C581" s="134" t="str">
        <f>if(A581="", "", vlookup(A581+0.01, 'SEO Implementation Checklist'!$B:$E, counta('SEO Implementation Checklist'!$B$2:$E$2), true))</f>
        <v/>
      </c>
      <c r="D581" s="135" t="s">
        <v>368</v>
      </c>
      <c r="E581" s="137" t="s">
        <v>369</v>
      </c>
      <c r="F581" s="138"/>
      <c r="G581" s="138"/>
      <c r="H581" s="139"/>
    </row>
    <row r="582" ht="15.75" customHeight="1">
      <c r="A582" s="133"/>
      <c r="B582" s="128"/>
      <c r="C582" s="134" t="str">
        <f>if(A582="", "", vlookup(A582+0.01, 'SEO Implementation Checklist'!$B:$E, counta('SEO Implementation Checklist'!$B$2:$E$2), true))</f>
        <v/>
      </c>
      <c r="D582" s="135" t="s">
        <v>368</v>
      </c>
      <c r="E582" s="137" t="s">
        <v>369</v>
      </c>
      <c r="F582" s="138"/>
      <c r="G582" s="138"/>
      <c r="H582" s="139"/>
    </row>
    <row r="583" ht="15.75" customHeight="1">
      <c r="A583" s="133"/>
      <c r="B583" s="128"/>
      <c r="C583" s="134" t="str">
        <f>if(A583="", "", vlookup(A583+0.01, 'SEO Implementation Checklist'!$B:$E, counta('SEO Implementation Checklist'!$B$2:$E$2), true))</f>
        <v/>
      </c>
      <c r="D583" s="135" t="s">
        <v>368</v>
      </c>
      <c r="E583" s="137" t="s">
        <v>369</v>
      </c>
      <c r="F583" s="138"/>
      <c r="G583" s="138"/>
      <c r="H583" s="139"/>
    </row>
    <row r="584" ht="15.75" customHeight="1">
      <c r="A584" s="133"/>
      <c r="B584" s="128"/>
      <c r="C584" s="134" t="str">
        <f>if(A584="", "", vlookup(A584+0.01, 'SEO Implementation Checklist'!$B:$E, counta('SEO Implementation Checklist'!$B$2:$E$2), true))</f>
        <v/>
      </c>
      <c r="D584" s="135" t="s">
        <v>368</v>
      </c>
      <c r="E584" s="137" t="s">
        <v>369</v>
      </c>
      <c r="F584" s="138"/>
      <c r="G584" s="138"/>
      <c r="H584" s="139"/>
    </row>
    <row r="585" ht="15.75" customHeight="1">
      <c r="A585" s="133"/>
      <c r="B585" s="128"/>
      <c r="C585" s="134" t="str">
        <f>if(A585="", "", vlookup(A585+0.01, 'SEO Implementation Checklist'!$B:$E, counta('SEO Implementation Checklist'!$B$2:$E$2), true))</f>
        <v/>
      </c>
      <c r="D585" s="135" t="s">
        <v>368</v>
      </c>
      <c r="E585" s="137" t="s">
        <v>369</v>
      </c>
      <c r="F585" s="138"/>
      <c r="G585" s="138"/>
      <c r="H585" s="139"/>
    </row>
    <row r="586" ht="15.75" customHeight="1">
      <c r="A586" s="133"/>
      <c r="B586" s="128"/>
      <c r="C586" s="134" t="str">
        <f>if(A586="", "", vlookup(A586+0.01, 'SEO Implementation Checklist'!$B:$E, counta('SEO Implementation Checklist'!$B$2:$E$2), true))</f>
        <v/>
      </c>
      <c r="D586" s="135" t="s">
        <v>368</v>
      </c>
      <c r="E586" s="137" t="s">
        <v>369</v>
      </c>
      <c r="F586" s="138"/>
      <c r="G586" s="138"/>
      <c r="H586" s="139"/>
    </row>
    <row r="587" ht="15.75" customHeight="1">
      <c r="A587" s="133"/>
      <c r="B587" s="128"/>
      <c r="C587" s="134" t="str">
        <f>if(A587="", "", vlookup(A587+0.01, 'SEO Implementation Checklist'!$B:$E, counta('SEO Implementation Checklist'!$B$2:$E$2), true))</f>
        <v/>
      </c>
      <c r="D587" s="135" t="s">
        <v>368</v>
      </c>
      <c r="E587" s="137" t="s">
        <v>369</v>
      </c>
      <c r="F587" s="138"/>
      <c r="G587" s="138"/>
      <c r="H587" s="139"/>
    </row>
    <row r="588" ht="15.75" customHeight="1">
      <c r="A588" s="133"/>
      <c r="B588" s="128"/>
      <c r="C588" s="134" t="str">
        <f>if(A588="", "", vlookup(A588+0.01, 'SEO Implementation Checklist'!$B:$E, counta('SEO Implementation Checklist'!$B$2:$E$2), true))</f>
        <v/>
      </c>
      <c r="D588" s="135" t="s">
        <v>368</v>
      </c>
      <c r="E588" s="137" t="s">
        <v>369</v>
      </c>
      <c r="F588" s="138"/>
      <c r="G588" s="138"/>
      <c r="H588" s="139"/>
    </row>
    <row r="589" ht="15.75" customHeight="1">
      <c r="A589" s="133"/>
      <c r="B589" s="128"/>
      <c r="C589" s="134" t="str">
        <f>if(A589="", "", vlookup(A589+0.01, 'SEO Implementation Checklist'!$B:$E, counta('SEO Implementation Checklist'!$B$2:$E$2), true))</f>
        <v/>
      </c>
      <c r="D589" s="135" t="s">
        <v>368</v>
      </c>
      <c r="E589" s="137" t="s">
        <v>369</v>
      </c>
      <c r="F589" s="138"/>
      <c r="G589" s="138"/>
      <c r="H589" s="139"/>
    </row>
    <row r="590" ht="15.75" customHeight="1">
      <c r="A590" s="133"/>
      <c r="B590" s="128"/>
      <c r="C590" s="134" t="str">
        <f>if(A590="", "", vlookup(A590+0.01, 'SEO Implementation Checklist'!$B:$E, counta('SEO Implementation Checklist'!$B$2:$E$2), true))</f>
        <v/>
      </c>
      <c r="D590" s="135" t="s">
        <v>368</v>
      </c>
      <c r="E590" s="137" t="s">
        <v>369</v>
      </c>
      <c r="F590" s="138"/>
      <c r="G590" s="138"/>
      <c r="H590" s="139"/>
    </row>
    <row r="591" ht="15.75" customHeight="1">
      <c r="A591" s="133"/>
      <c r="B591" s="128"/>
      <c r="C591" s="134" t="str">
        <f>if(A591="", "", vlookup(A591+0.01, 'SEO Implementation Checklist'!$B:$E, counta('SEO Implementation Checklist'!$B$2:$E$2), true))</f>
        <v/>
      </c>
      <c r="D591" s="135" t="s">
        <v>368</v>
      </c>
      <c r="E591" s="137" t="s">
        <v>369</v>
      </c>
      <c r="F591" s="138"/>
      <c r="G591" s="138"/>
      <c r="H591" s="139"/>
    </row>
    <row r="592" ht="15.75" customHeight="1">
      <c r="A592" s="133"/>
      <c r="B592" s="128"/>
      <c r="C592" s="134" t="str">
        <f>if(A592="", "", vlookup(A592+0.01, 'SEO Implementation Checklist'!$B:$E, counta('SEO Implementation Checklist'!$B$2:$E$2), true))</f>
        <v/>
      </c>
      <c r="D592" s="135" t="s">
        <v>368</v>
      </c>
      <c r="E592" s="137" t="s">
        <v>369</v>
      </c>
      <c r="F592" s="138"/>
      <c r="G592" s="138"/>
      <c r="H592" s="139"/>
    </row>
    <row r="593" ht="15.75" customHeight="1">
      <c r="A593" s="133"/>
      <c r="B593" s="128"/>
      <c r="C593" s="134" t="str">
        <f>if(A593="", "", vlookup(A593+0.01, 'SEO Implementation Checklist'!$B:$E, counta('SEO Implementation Checklist'!$B$2:$E$2), true))</f>
        <v/>
      </c>
      <c r="D593" s="135" t="s">
        <v>368</v>
      </c>
      <c r="E593" s="137" t="s">
        <v>369</v>
      </c>
      <c r="F593" s="138"/>
      <c r="G593" s="138"/>
      <c r="H593" s="139"/>
    </row>
    <row r="594" ht="15.75" customHeight="1">
      <c r="A594" s="133"/>
      <c r="B594" s="128"/>
      <c r="C594" s="134" t="str">
        <f>if(A594="", "", vlookup(A594+0.01, 'SEO Implementation Checklist'!$B:$E, counta('SEO Implementation Checklist'!$B$2:$E$2), true))</f>
        <v/>
      </c>
      <c r="D594" s="135" t="s">
        <v>368</v>
      </c>
      <c r="E594" s="137" t="s">
        <v>369</v>
      </c>
      <c r="F594" s="138"/>
      <c r="G594" s="138"/>
      <c r="H594" s="139"/>
    </row>
    <row r="595" ht="15.75" customHeight="1">
      <c r="A595" s="133"/>
      <c r="B595" s="128"/>
      <c r="C595" s="134" t="str">
        <f>if(A595="", "", vlookup(A595+0.01, 'SEO Implementation Checklist'!$B:$E, counta('SEO Implementation Checklist'!$B$2:$E$2), true))</f>
        <v/>
      </c>
      <c r="D595" s="135" t="s">
        <v>368</v>
      </c>
      <c r="E595" s="137" t="s">
        <v>369</v>
      </c>
      <c r="F595" s="138"/>
      <c r="G595" s="138"/>
      <c r="H595" s="139"/>
    </row>
    <row r="596" ht="15.75" customHeight="1">
      <c r="A596" s="133"/>
      <c r="B596" s="128"/>
      <c r="C596" s="134" t="str">
        <f>if(A596="", "", vlookup(A596+0.01, 'SEO Implementation Checklist'!$B:$E, counta('SEO Implementation Checklist'!$B$2:$E$2), true))</f>
        <v/>
      </c>
      <c r="D596" s="135" t="s">
        <v>368</v>
      </c>
      <c r="E596" s="137" t="s">
        <v>369</v>
      </c>
      <c r="F596" s="138"/>
      <c r="G596" s="138"/>
      <c r="H596" s="139"/>
    </row>
    <row r="597" ht="15.75" customHeight="1">
      <c r="A597" s="133"/>
      <c r="B597" s="128"/>
      <c r="C597" s="134" t="str">
        <f>if(A597="", "", vlookup(A597+0.01, 'SEO Implementation Checklist'!$B:$E, counta('SEO Implementation Checklist'!$B$2:$E$2), true))</f>
        <v/>
      </c>
      <c r="D597" s="135" t="s">
        <v>368</v>
      </c>
      <c r="E597" s="137" t="s">
        <v>369</v>
      </c>
      <c r="F597" s="138"/>
      <c r="G597" s="138"/>
      <c r="H597" s="139"/>
    </row>
    <row r="598" ht="15.75" customHeight="1">
      <c r="A598" s="133"/>
      <c r="B598" s="128"/>
      <c r="C598" s="134" t="str">
        <f>if(A598="", "", vlookup(A598+0.01, 'SEO Implementation Checklist'!$B:$E, counta('SEO Implementation Checklist'!$B$2:$E$2), true))</f>
        <v/>
      </c>
      <c r="D598" s="135" t="s">
        <v>368</v>
      </c>
      <c r="E598" s="137" t="s">
        <v>369</v>
      </c>
      <c r="F598" s="138"/>
      <c r="G598" s="138"/>
      <c r="H598" s="139"/>
    </row>
    <row r="599" ht="15.75" customHeight="1">
      <c r="A599" s="133"/>
      <c r="B599" s="128"/>
      <c r="C599" s="134" t="str">
        <f>if(A599="", "", vlookup(A599+0.01, 'SEO Implementation Checklist'!$B:$E, counta('SEO Implementation Checklist'!$B$2:$E$2), true))</f>
        <v/>
      </c>
      <c r="D599" s="135" t="s">
        <v>368</v>
      </c>
      <c r="E599" s="137" t="s">
        <v>369</v>
      </c>
      <c r="F599" s="138"/>
      <c r="G599" s="138"/>
      <c r="H599" s="139"/>
    </row>
    <row r="600" ht="15.75" customHeight="1">
      <c r="A600" s="133"/>
      <c r="B600" s="128"/>
      <c r="C600" s="134" t="str">
        <f>if(A600="", "", vlookup(A600+0.01, 'SEO Implementation Checklist'!$B:$E, counta('SEO Implementation Checklist'!$B$2:$E$2), true))</f>
        <v/>
      </c>
      <c r="D600" s="135" t="s">
        <v>368</v>
      </c>
      <c r="E600" s="137" t="s">
        <v>369</v>
      </c>
      <c r="F600" s="138"/>
      <c r="G600" s="138"/>
      <c r="H600" s="139"/>
    </row>
    <row r="601" ht="15.75" customHeight="1">
      <c r="A601" s="133"/>
      <c r="B601" s="128"/>
      <c r="C601" s="134" t="str">
        <f>if(A601="", "", vlookup(A601+0.01, 'SEO Implementation Checklist'!$B:$E, counta('SEO Implementation Checklist'!$B$2:$E$2), true))</f>
        <v/>
      </c>
      <c r="D601" s="135" t="s">
        <v>368</v>
      </c>
      <c r="E601" s="137" t="s">
        <v>369</v>
      </c>
      <c r="F601" s="138"/>
      <c r="G601" s="138"/>
      <c r="H601" s="139"/>
    </row>
    <row r="602" ht="15.75" customHeight="1">
      <c r="A602" s="133"/>
      <c r="B602" s="128"/>
      <c r="C602" s="134" t="str">
        <f>if(A602="", "", vlookup(A602+0.01, 'SEO Implementation Checklist'!$B:$E, counta('SEO Implementation Checklist'!$B$2:$E$2), true))</f>
        <v/>
      </c>
      <c r="D602" s="135" t="s">
        <v>368</v>
      </c>
      <c r="E602" s="137" t="s">
        <v>369</v>
      </c>
      <c r="F602" s="138"/>
      <c r="G602" s="138"/>
      <c r="H602" s="139"/>
    </row>
    <row r="603" ht="15.75" customHeight="1">
      <c r="A603" s="133"/>
      <c r="B603" s="128"/>
      <c r="C603" s="134" t="str">
        <f>if(A603="", "", vlookup(A603+0.01, 'SEO Implementation Checklist'!$B:$E, counta('SEO Implementation Checklist'!$B$2:$E$2), true))</f>
        <v/>
      </c>
      <c r="D603" s="135" t="s">
        <v>368</v>
      </c>
      <c r="E603" s="137" t="s">
        <v>369</v>
      </c>
      <c r="F603" s="138"/>
      <c r="G603" s="138"/>
      <c r="H603" s="139"/>
    </row>
    <row r="604" ht="15.75" customHeight="1">
      <c r="A604" s="133"/>
      <c r="B604" s="128"/>
      <c r="C604" s="134" t="str">
        <f>if(A604="", "", vlookup(A604+0.01, 'SEO Implementation Checklist'!$B:$E, counta('SEO Implementation Checklist'!$B$2:$E$2), true))</f>
        <v/>
      </c>
      <c r="D604" s="135" t="s">
        <v>368</v>
      </c>
      <c r="E604" s="137" t="s">
        <v>369</v>
      </c>
      <c r="F604" s="138"/>
      <c r="G604" s="138"/>
      <c r="H604" s="139"/>
    </row>
    <row r="605" ht="15.75" customHeight="1">
      <c r="A605" s="133"/>
      <c r="B605" s="128"/>
      <c r="C605" s="134" t="str">
        <f>if(A605="", "", vlookup(A605+0.01, 'SEO Implementation Checklist'!$B:$E, counta('SEO Implementation Checklist'!$B$2:$E$2), true))</f>
        <v/>
      </c>
      <c r="D605" s="135" t="s">
        <v>368</v>
      </c>
      <c r="E605" s="137" t="s">
        <v>369</v>
      </c>
      <c r="F605" s="138"/>
      <c r="G605" s="138"/>
      <c r="H605" s="139"/>
    </row>
    <row r="606" ht="15.75" customHeight="1">
      <c r="A606" s="133"/>
      <c r="B606" s="128"/>
      <c r="C606" s="134" t="str">
        <f>if(A606="", "", vlookup(A606+0.01, 'SEO Implementation Checklist'!$B:$E, counta('SEO Implementation Checklist'!$B$2:$E$2), true))</f>
        <v/>
      </c>
      <c r="D606" s="135" t="s">
        <v>368</v>
      </c>
      <c r="E606" s="137" t="s">
        <v>369</v>
      </c>
      <c r="F606" s="138"/>
      <c r="G606" s="138"/>
      <c r="H606" s="139"/>
    </row>
    <row r="607" ht="15.75" customHeight="1">
      <c r="A607" s="133"/>
      <c r="B607" s="128"/>
      <c r="C607" s="134" t="str">
        <f>if(A607="", "", vlookup(A607+0.01, 'SEO Implementation Checklist'!$B:$E, counta('SEO Implementation Checklist'!$B$2:$E$2), true))</f>
        <v/>
      </c>
      <c r="D607" s="135" t="s">
        <v>368</v>
      </c>
      <c r="E607" s="137" t="s">
        <v>369</v>
      </c>
      <c r="F607" s="138"/>
      <c r="G607" s="138"/>
      <c r="H607" s="139"/>
    </row>
    <row r="608" ht="15.75" customHeight="1">
      <c r="A608" s="133"/>
      <c r="B608" s="128"/>
      <c r="C608" s="134" t="str">
        <f>if(A608="", "", vlookup(A608+0.01, 'SEO Implementation Checklist'!$B:$E, counta('SEO Implementation Checklist'!$B$2:$E$2), true))</f>
        <v/>
      </c>
      <c r="D608" s="135" t="s">
        <v>368</v>
      </c>
      <c r="E608" s="137" t="s">
        <v>369</v>
      </c>
      <c r="F608" s="138"/>
      <c r="G608" s="138"/>
      <c r="H608" s="139"/>
    </row>
    <row r="609" ht="15.75" customHeight="1">
      <c r="A609" s="133"/>
      <c r="B609" s="128"/>
      <c r="C609" s="134" t="str">
        <f>if(A609="", "", vlookup(A609+0.01, 'SEO Implementation Checklist'!$B:$E, counta('SEO Implementation Checklist'!$B$2:$E$2), true))</f>
        <v/>
      </c>
      <c r="D609" s="135" t="s">
        <v>368</v>
      </c>
      <c r="E609" s="137" t="s">
        <v>369</v>
      </c>
      <c r="F609" s="138"/>
      <c r="G609" s="138"/>
      <c r="H609" s="139"/>
    </row>
    <row r="610" ht="15.75" customHeight="1">
      <c r="A610" s="133"/>
      <c r="B610" s="128"/>
      <c r="C610" s="134" t="str">
        <f>if(A610="", "", vlookup(A610+0.01, 'SEO Implementation Checklist'!$B:$E, counta('SEO Implementation Checklist'!$B$2:$E$2), true))</f>
        <v/>
      </c>
      <c r="D610" s="135" t="s">
        <v>368</v>
      </c>
      <c r="E610" s="137" t="s">
        <v>369</v>
      </c>
      <c r="F610" s="138"/>
      <c r="G610" s="138"/>
      <c r="H610" s="139"/>
    </row>
    <row r="611" ht="15.75" customHeight="1">
      <c r="A611" s="133"/>
      <c r="B611" s="128"/>
      <c r="C611" s="134" t="str">
        <f>if(A611="", "", vlookup(A611+0.01, 'SEO Implementation Checklist'!$B:$E, counta('SEO Implementation Checklist'!$B$2:$E$2), true))</f>
        <v/>
      </c>
      <c r="D611" s="135" t="s">
        <v>368</v>
      </c>
      <c r="E611" s="137" t="s">
        <v>369</v>
      </c>
      <c r="F611" s="138"/>
      <c r="G611" s="138"/>
      <c r="H611" s="139"/>
    </row>
    <row r="612" ht="15.75" customHeight="1">
      <c r="A612" s="133"/>
      <c r="B612" s="128"/>
      <c r="C612" s="134" t="str">
        <f>if(A612="", "", vlookup(A612+0.01, 'SEO Implementation Checklist'!$B:$E, counta('SEO Implementation Checklist'!$B$2:$E$2), true))</f>
        <v/>
      </c>
      <c r="D612" s="135" t="s">
        <v>368</v>
      </c>
      <c r="E612" s="137" t="s">
        <v>369</v>
      </c>
      <c r="F612" s="138"/>
      <c r="G612" s="138"/>
      <c r="H612" s="139"/>
    </row>
    <row r="613" ht="15.75" customHeight="1">
      <c r="A613" s="133"/>
      <c r="B613" s="128"/>
      <c r="C613" s="134" t="str">
        <f>if(A613="", "", vlookup(A613+0.01, 'SEO Implementation Checklist'!$B:$E, counta('SEO Implementation Checklist'!$B$2:$E$2), true))</f>
        <v/>
      </c>
      <c r="D613" s="135" t="s">
        <v>368</v>
      </c>
      <c r="E613" s="137" t="s">
        <v>369</v>
      </c>
      <c r="F613" s="138"/>
      <c r="G613" s="138"/>
      <c r="H613" s="139"/>
    </row>
    <row r="614" ht="15.75" customHeight="1">
      <c r="A614" s="133"/>
      <c r="B614" s="128"/>
      <c r="C614" s="134" t="str">
        <f>if(A614="", "", vlookup(A614+0.01, 'SEO Implementation Checklist'!$B:$E, counta('SEO Implementation Checklist'!$B$2:$E$2), true))</f>
        <v/>
      </c>
      <c r="D614" s="135" t="s">
        <v>368</v>
      </c>
      <c r="E614" s="137" t="s">
        <v>369</v>
      </c>
      <c r="F614" s="138"/>
      <c r="G614" s="138"/>
      <c r="H614" s="139"/>
    </row>
    <row r="615" ht="15.75" customHeight="1">
      <c r="A615" s="133"/>
      <c r="B615" s="128"/>
      <c r="C615" s="134" t="str">
        <f>if(A615="", "", vlookup(A615+0.01, 'SEO Implementation Checklist'!$B:$E, counta('SEO Implementation Checklist'!$B$2:$E$2), true))</f>
        <v/>
      </c>
      <c r="D615" s="135" t="s">
        <v>368</v>
      </c>
      <c r="E615" s="137" t="s">
        <v>369</v>
      </c>
      <c r="F615" s="138"/>
      <c r="G615" s="138"/>
      <c r="H615" s="139"/>
    </row>
    <row r="616" ht="15.75" customHeight="1">
      <c r="A616" s="133"/>
      <c r="B616" s="128"/>
      <c r="C616" s="134" t="str">
        <f>if(A616="", "", vlookup(A616+0.01, 'SEO Implementation Checklist'!$B:$E, counta('SEO Implementation Checklist'!$B$2:$E$2), true))</f>
        <v/>
      </c>
      <c r="D616" s="135" t="s">
        <v>368</v>
      </c>
      <c r="E616" s="137" t="s">
        <v>369</v>
      </c>
      <c r="F616" s="138"/>
      <c r="G616" s="138"/>
      <c r="H616" s="139"/>
    </row>
    <row r="617" ht="15.75" customHeight="1">
      <c r="A617" s="133"/>
      <c r="B617" s="128"/>
      <c r="C617" s="134" t="str">
        <f>if(A617="", "", vlookup(A617+0.01, 'SEO Implementation Checklist'!$B:$E, counta('SEO Implementation Checklist'!$B$2:$E$2), true))</f>
        <v/>
      </c>
      <c r="D617" s="135" t="s">
        <v>368</v>
      </c>
      <c r="E617" s="137" t="s">
        <v>369</v>
      </c>
      <c r="F617" s="138"/>
      <c r="G617" s="138"/>
      <c r="H617" s="139"/>
    </row>
    <row r="618" ht="15.75" customHeight="1">
      <c r="A618" s="133"/>
      <c r="B618" s="128"/>
      <c r="C618" s="134" t="str">
        <f>if(A618="", "", vlookup(A618+0.01, 'SEO Implementation Checklist'!$B:$E, counta('SEO Implementation Checklist'!$B$2:$E$2), true))</f>
        <v/>
      </c>
      <c r="D618" s="135" t="s">
        <v>368</v>
      </c>
      <c r="E618" s="137" t="s">
        <v>369</v>
      </c>
      <c r="F618" s="138"/>
      <c r="G618" s="138"/>
      <c r="H618" s="139"/>
    </row>
    <row r="619" ht="15.75" customHeight="1">
      <c r="A619" s="133"/>
      <c r="B619" s="128"/>
      <c r="C619" s="134" t="str">
        <f>if(A619="", "", vlookup(A619+0.01, 'SEO Implementation Checklist'!$B:$E, counta('SEO Implementation Checklist'!$B$2:$E$2), true))</f>
        <v/>
      </c>
      <c r="D619" s="135" t="s">
        <v>368</v>
      </c>
      <c r="E619" s="137" t="s">
        <v>369</v>
      </c>
      <c r="F619" s="138"/>
      <c r="G619" s="138"/>
      <c r="H619" s="139"/>
    </row>
    <row r="620" ht="15.75" customHeight="1">
      <c r="A620" s="133"/>
      <c r="B620" s="128"/>
      <c r="C620" s="134" t="str">
        <f>if(A620="", "", vlookup(A620+0.01, 'SEO Implementation Checklist'!$B:$E, counta('SEO Implementation Checklist'!$B$2:$E$2), true))</f>
        <v/>
      </c>
      <c r="D620" s="135" t="s">
        <v>368</v>
      </c>
      <c r="E620" s="137" t="s">
        <v>369</v>
      </c>
      <c r="F620" s="138"/>
      <c r="G620" s="138"/>
      <c r="H620" s="139"/>
    </row>
    <row r="621" ht="15.75" customHeight="1">
      <c r="A621" s="133"/>
      <c r="B621" s="128"/>
      <c r="C621" s="134" t="str">
        <f>if(A621="", "", vlookup(A621+0.01, 'SEO Implementation Checklist'!$B:$E, counta('SEO Implementation Checklist'!$B$2:$E$2), true))</f>
        <v/>
      </c>
      <c r="D621" s="135" t="s">
        <v>368</v>
      </c>
      <c r="E621" s="137" t="s">
        <v>369</v>
      </c>
      <c r="F621" s="138"/>
      <c r="G621" s="138"/>
      <c r="H621" s="139"/>
    </row>
    <row r="622" ht="15.75" customHeight="1">
      <c r="A622" s="133"/>
      <c r="B622" s="128"/>
      <c r="C622" s="134" t="str">
        <f>if(A622="", "", vlookup(A622+0.01, 'SEO Implementation Checklist'!$B:$E, counta('SEO Implementation Checklist'!$B$2:$E$2), true))</f>
        <v/>
      </c>
      <c r="D622" s="135" t="s">
        <v>368</v>
      </c>
      <c r="E622" s="137" t="s">
        <v>369</v>
      </c>
      <c r="F622" s="138"/>
      <c r="G622" s="138"/>
      <c r="H622" s="139"/>
    </row>
    <row r="623" ht="15.75" customHeight="1">
      <c r="A623" s="133"/>
      <c r="B623" s="128"/>
      <c r="C623" s="134" t="str">
        <f>if(A623="", "", vlookup(A623+0.01, 'SEO Implementation Checklist'!$B:$E, counta('SEO Implementation Checklist'!$B$2:$E$2), true))</f>
        <v/>
      </c>
      <c r="D623" s="135" t="s">
        <v>368</v>
      </c>
      <c r="E623" s="137" t="s">
        <v>369</v>
      </c>
      <c r="F623" s="138"/>
      <c r="G623" s="138"/>
      <c r="H623" s="139"/>
    </row>
    <row r="624" ht="15.75" customHeight="1">
      <c r="A624" s="133"/>
      <c r="B624" s="128"/>
      <c r="C624" s="134" t="str">
        <f>if(A624="", "", vlookup(A624+0.01, 'SEO Implementation Checklist'!$B:$E, counta('SEO Implementation Checklist'!$B$2:$E$2), true))</f>
        <v/>
      </c>
      <c r="D624" s="135" t="s">
        <v>368</v>
      </c>
      <c r="E624" s="137" t="s">
        <v>369</v>
      </c>
      <c r="F624" s="138"/>
      <c r="G624" s="138"/>
      <c r="H624" s="139"/>
    </row>
    <row r="625" ht="15.75" customHeight="1">
      <c r="A625" s="133"/>
      <c r="B625" s="128"/>
      <c r="C625" s="134" t="str">
        <f>if(A625="", "", vlookup(A625+0.01, 'SEO Implementation Checklist'!$B:$E, counta('SEO Implementation Checklist'!$B$2:$E$2), true))</f>
        <v/>
      </c>
      <c r="D625" s="135" t="s">
        <v>368</v>
      </c>
      <c r="E625" s="137" t="s">
        <v>369</v>
      </c>
      <c r="F625" s="138"/>
      <c r="G625" s="138"/>
      <c r="H625" s="139"/>
    </row>
    <row r="626" ht="15.75" customHeight="1">
      <c r="A626" s="133"/>
      <c r="B626" s="128"/>
      <c r="C626" s="134" t="str">
        <f>if(A626="", "", vlookup(A626+0.01, 'SEO Implementation Checklist'!$B:$E, counta('SEO Implementation Checklist'!$B$2:$E$2), true))</f>
        <v/>
      </c>
      <c r="D626" s="135" t="s">
        <v>368</v>
      </c>
      <c r="E626" s="137" t="s">
        <v>369</v>
      </c>
      <c r="F626" s="138"/>
      <c r="G626" s="138"/>
      <c r="H626" s="139"/>
    </row>
    <row r="627" ht="15.75" customHeight="1">
      <c r="A627" s="133"/>
      <c r="B627" s="128"/>
      <c r="C627" s="134" t="str">
        <f>if(A627="", "", vlookup(A627+0.01, 'SEO Implementation Checklist'!$B:$E, counta('SEO Implementation Checklist'!$B$2:$E$2), true))</f>
        <v/>
      </c>
      <c r="D627" s="135" t="s">
        <v>368</v>
      </c>
      <c r="E627" s="137" t="s">
        <v>369</v>
      </c>
      <c r="F627" s="138"/>
      <c r="G627" s="138"/>
      <c r="H627" s="139"/>
    </row>
    <row r="628" ht="15.75" customHeight="1">
      <c r="A628" s="133"/>
      <c r="B628" s="128"/>
      <c r="C628" s="134" t="str">
        <f>if(A628="", "", vlookup(A628+0.01, 'SEO Implementation Checklist'!$B:$E, counta('SEO Implementation Checklist'!$B$2:$E$2), true))</f>
        <v/>
      </c>
      <c r="D628" s="135" t="s">
        <v>368</v>
      </c>
      <c r="E628" s="137" t="s">
        <v>369</v>
      </c>
      <c r="F628" s="138"/>
      <c r="G628" s="138"/>
      <c r="H628" s="139"/>
    </row>
    <row r="629" ht="15.75" customHeight="1">
      <c r="A629" s="133"/>
      <c r="B629" s="128"/>
      <c r="C629" s="134" t="str">
        <f>if(A629="", "", vlookup(A629+0.01, 'SEO Implementation Checklist'!$B:$E, counta('SEO Implementation Checklist'!$B$2:$E$2), true))</f>
        <v/>
      </c>
      <c r="D629" s="135" t="s">
        <v>368</v>
      </c>
      <c r="E629" s="137" t="s">
        <v>369</v>
      </c>
      <c r="F629" s="138"/>
      <c r="G629" s="138"/>
      <c r="H629" s="139"/>
    </row>
    <row r="630" ht="15.75" customHeight="1">
      <c r="A630" s="133"/>
      <c r="B630" s="128"/>
      <c r="C630" s="134" t="str">
        <f>if(A630="", "", vlookup(A630+0.01, 'SEO Implementation Checklist'!$B:$E, counta('SEO Implementation Checklist'!$B$2:$E$2), true))</f>
        <v/>
      </c>
      <c r="D630" s="135" t="s">
        <v>368</v>
      </c>
      <c r="E630" s="137" t="s">
        <v>369</v>
      </c>
      <c r="F630" s="138"/>
      <c r="G630" s="138"/>
      <c r="H630" s="139"/>
    </row>
    <row r="631" ht="15.75" customHeight="1">
      <c r="A631" s="133"/>
      <c r="B631" s="128"/>
      <c r="C631" s="134" t="str">
        <f>if(A631="", "", vlookup(A631+0.01, 'SEO Implementation Checklist'!$B:$E, counta('SEO Implementation Checklist'!$B$2:$E$2), true))</f>
        <v/>
      </c>
      <c r="D631" s="135" t="s">
        <v>368</v>
      </c>
      <c r="E631" s="137" t="s">
        <v>369</v>
      </c>
      <c r="F631" s="138"/>
      <c r="G631" s="138"/>
      <c r="H631" s="139"/>
    </row>
    <row r="632" ht="15.75" customHeight="1">
      <c r="A632" s="133"/>
      <c r="B632" s="128"/>
      <c r="C632" s="134" t="str">
        <f>if(A632="", "", vlookup(A632+0.01, 'SEO Implementation Checklist'!$B:$E, counta('SEO Implementation Checklist'!$B$2:$E$2), true))</f>
        <v/>
      </c>
      <c r="D632" s="135" t="s">
        <v>368</v>
      </c>
      <c r="E632" s="137" t="s">
        <v>369</v>
      </c>
      <c r="F632" s="138"/>
      <c r="G632" s="138"/>
      <c r="H632" s="139"/>
    </row>
    <row r="633" ht="15.75" customHeight="1">
      <c r="A633" s="133"/>
      <c r="B633" s="128"/>
      <c r="C633" s="134" t="str">
        <f>if(A633="", "", vlookup(A633+0.01, 'SEO Implementation Checklist'!$B:$E, counta('SEO Implementation Checklist'!$B$2:$E$2), true))</f>
        <v/>
      </c>
      <c r="D633" s="135" t="s">
        <v>368</v>
      </c>
      <c r="E633" s="137" t="s">
        <v>369</v>
      </c>
      <c r="F633" s="138"/>
      <c r="G633" s="138"/>
      <c r="H633" s="139"/>
    </row>
    <row r="634" ht="15.75" customHeight="1">
      <c r="A634" s="133"/>
      <c r="B634" s="128"/>
      <c r="C634" s="134" t="str">
        <f>if(A634="", "", vlookup(A634+0.01, 'SEO Implementation Checklist'!$B:$E, counta('SEO Implementation Checklist'!$B$2:$E$2), true))</f>
        <v/>
      </c>
      <c r="D634" s="135" t="s">
        <v>368</v>
      </c>
      <c r="E634" s="137" t="s">
        <v>369</v>
      </c>
      <c r="F634" s="138"/>
      <c r="G634" s="138"/>
      <c r="H634" s="139"/>
    </row>
    <row r="635" ht="15.75" customHeight="1">
      <c r="A635" s="133"/>
      <c r="B635" s="128"/>
      <c r="C635" s="134" t="str">
        <f>if(A635="", "", vlookup(A635+0.01, 'SEO Implementation Checklist'!$B:$E, counta('SEO Implementation Checklist'!$B$2:$E$2), true))</f>
        <v/>
      </c>
      <c r="D635" s="135" t="s">
        <v>368</v>
      </c>
      <c r="E635" s="137" t="s">
        <v>369</v>
      </c>
      <c r="F635" s="138"/>
      <c r="G635" s="138"/>
      <c r="H635" s="139"/>
    </row>
    <row r="636" ht="15.75" customHeight="1">
      <c r="A636" s="133"/>
      <c r="B636" s="128"/>
      <c r="C636" s="134" t="str">
        <f>if(A636="", "", vlookup(A636+0.01, 'SEO Implementation Checklist'!$B:$E, counta('SEO Implementation Checklist'!$B$2:$E$2), true))</f>
        <v/>
      </c>
      <c r="D636" s="135" t="s">
        <v>368</v>
      </c>
      <c r="E636" s="137" t="s">
        <v>369</v>
      </c>
      <c r="F636" s="138"/>
      <c r="G636" s="138"/>
      <c r="H636" s="139"/>
    </row>
    <row r="637" ht="15.75" customHeight="1">
      <c r="A637" s="133"/>
      <c r="B637" s="128"/>
      <c r="C637" s="134" t="str">
        <f>if(A637="", "", vlookup(A637+0.01, 'SEO Implementation Checklist'!$B:$E, counta('SEO Implementation Checklist'!$B$2:$E$2), true))</f>
        <v/>
      </c>
      <c r="D637" s="135" t="s">
        <v>368</v>
      </c>
      <c r="E637" s="137" t="s">
        <v>369</v>
      </c>
      <c r="F637" s="138"/>
      <c r="G637" s="138"/>
      <c r="H637" s="139"/>
    </row>
    <row r="638" ht="15.75" customHeight="1">
      <c r="A638" s="133"/>
      <c r="B638" s="128"/>
      <c r="C638" s="134" t="str">
        <f>if(A638="", "", vlookup(A638+0.01, 'SEO Implementation Checklist'!$B:$E, counta('SEO Implementation Checklist'!$B$2:$E$2), true))</f>
        <v/>
      </c>
      <c r="D638" s="135" t="s">
        <v>368</v>
      </c>
      <c r="E638" s="137" t="s">
        <v>369</v>
      </c>
      <c r="F638" s="138"/>
      <c r="G638" s="138"/>
      <c r="H638" s="139"/>
    </row>
    <row r="639" ht="15.75" customHeight="1">
      <c r="A639" s="133"/>
      <c r="B639" s="128"/>
      <c r="C639" s="134" t="str">
        <f>if(A639="", "", vlookup(A639+0.01, 'SEO Implementation Checklist'!$B:$E, counta('SEO Implementation Checklist'!$B$2:$E$2), true))</f>
        <v/>
      </c>
      <c r="D639" s="135" t="s">
        <v>368</v>
      </c>
      <c r="E639" s="137" t="s">
        <v>369</v>
      </c>
      <c r="F639" s="138"/>
      <c r="G639" s="138"/>
      <c r="H639" s="139"/>
    </row>
    <row r="640" ht="15.75" customHeight="1">
      <c r="A640" s="133"/>
      <c r="B640" s="128"/>
      <c r="C640" s="134" t="str">
        <f>if(A640="", "", vlookup(A640+0.01, 'SEO Implementation Checklist'!$B:$E, counta('SEO Implementation Checklist'!$B$2:$E$2), true))</f>
        <v/>
      </c>
      <c r="D640" s="135" t="s">
        <v>368</v>
      </c>
      <c r="E640" s="137" t="s">
        <v>369</v>
      </c>
      <c r="F640" s="138"/>
      <c r="G640" s="138"/>
      <c r="H640" s="139"/>
    </row>
    <row r="641" ht="15.75" customHeight="1">
      <c r="A641" s="133"/>
      <c r="B641" s="128"/>
      <c r="C641" s="134" t="str">
        <f>if(A641="", "", vlookup(A641+0.01, 'SEO Implementation Checklist'!$B:$E, counta('SEO Implementation Checklist'!$B$2:$E$2), true))</f>
        <v/>
      </c>
      <c r="D641" s="135" t="s">
        <v>368</v>
      </c>
      <c r="E641" s="137" t="s">
        <v>369</v>
      </c>
      <c r="F641" s="138"/>
      <c r="G641" s="138"/>
      <c r="H641" s="139"/>
    </row>
    <row r="642" ht="15.75" customHeight="1">
      <c r="A642" s="133"/>
      <c r="B642" s="128"/>
      <c r="C642" s="134" t="str">
        <f>if(A642="", "", vlookup(A642+0.01, 'SEO Implementation Checklist'!$B:$E, counta('SEO Implementation Checklist'!$B$2:$E$2), true))</f>
        <v/>
      </c>
      <c r="D642" s="135" t="s">
        <v>368</v>
      </c>
      <c r="E642" s="137" t="s">
        <v>369</v>
      </c>
      <c r="F642" s="138"/>
      <c r="G642" s="138"/>
      <c r="H642" s="139"/>
    </row>
    <row r="643" ht="15.75" customHeight="1">
      <c r="A643" s="133"/>
      <c r="B643" s="128"/>
      <c r="C643" s="134" t="str">
        <f>if(A643="", "", vlookup(A643+0.01, 'SEO Implementation Checklist'!$B:$E, counta('SEO Implementation Checklist'!$B$2:$E$2), true))</f>
        <v/>
      </c>
      <c r="D643" s="135" t="s">
        <v>368</v>
      </c>
      <c r="E643" s="137" t="s">
        <v>369</v>
      </c>
      <c r="F643" s="138"/>
      <c r="G643" s="138"/>
      <c r="H643" s="139"/>
    </row>
    <row r="644" ht="15.75" customHeight="1">
      <c r="A644" s="133"/>
      <c r="B644" s="128"/>
      <c r="C644" s="134" t="str">
        <f>if(A644="", "", vlookup(A644+0.01, 'SEO Implementation Checklist'!$B:$E, counta('SEO Implementation Checklist'!$B$2:$E$2), true))</f>
        <v/>
      </c>
      <c r="D644" s="135" t="s">
        <v>368</v>
      </c>
      <c r="E644" s="137" t="s">
        <v>369</v>
      </c>
      <c r="F644" s="138"/>
      <c r="G644" s="138"/>
      <c r="H644" s="139"/>
    </row>
    <row r="645" ht="15.75" customHeight="1">
      <c r="A645" s="133"/>
      <c r="B645" s="128"/>
      <c r="C645" s="134" t="str">
        <f>if(A645="", "", vlookup(A645+0.01, 'SEO Implementation Checklist'!$B:$E, counta('SEO Implementation Checklist'!$B$2:$E$2), true))</f>
        <v/>
      </c>
      <c r="D645" s="135" t="s">
        <v>368</v>
      </c>
      <c r="E645" s="137" t="s">
        <v>369</v>
      </c>
      <c r="F645" s="138"/>
      <c r="G645" s="138"/>
      <c r="H645" s="139"/>
    </row>
    <row r="646" ht="15.75" customHeight="1">
      <c r="A646" s="133"/>
      <c r="B646" s="128"/>
      <c r="C646" s="134" t="str">
        <f>if(A646="", "", vlookup(A646+0.01, 'SEO Implementation Checklist'!$B:$E, counta('SEO Implementation Checklist'!$B$2:$E$2), true))</f>
        <v/>
      </c>
      <c r="D646" s="135" t="s">
        <v>368</v>
      </c>
      <c r="E646" s="137" t="s">
        <v>369</v>
      </c>
      <c r="F646" s="138"/>
      <c r="G646" s="138"/>
      <c r="H646" s="139"/>
    </row>
    <row r="647" ht="15.75" customHeight="1">
      <c r="A647" s="133"/>
      <c r="B647" s="128"/>
      <c r="C647" s="134" t="str">
        <f>if(A647="", "", vlookup(A647+0.01, 'SEO Implementation Checklist'!$B:$E, counta('SEO Implementation Checklist'!$B$2:$E$2), true))</f>
        <v/>
      </c>
      <c r="D647" s="135" t="s">
        <v>368</v>
      </c>
      <c r="E647" s="137" t="s">
        <v>369</v>
      </c>
      <c r="F647" s="138"/>
      <c r="G647" s="138"/>
      <c r="H647" s="139"/>
    </row>
    <row r="648" ht="15.75" customHeight="1">
      <c r="A648" s="133"/>
      <c r="B648" s="128"/>
      <c r="C648" s="134" t="str">
        <f>if(A648="", "", vlookup(A648+0.01, 'SEO Implementation Checklist'!$B:$E, counta('SEO Implementation Checklist'!$B$2:$E$2), true))</f>
        <v/>
      </c>
      <c r="D648" s="135" t="s">
        <v>368</v>
      </c>
      <c r="E648" s="137" t="s">
        <v>369</v>
      </c>
      <c r="F648" s="138"/>
      <c r="G648" s="138"/>
      <c r="H648" s="139"/>
    </row>
    <row r="649" ht="15.75" customHeight="1">
      <c r="A649" s="133"/>
      <c r="B649" s="128"/>
      <c r="C649" s="134" t="str">
        <f>if(A649="", "", vlookup(A649+0.01, 'SEO Implementation Checklist'!$B:$E, counta('SEO Implementation Checklist'!$B$2:$E$2), true))</f>
        <v/>
      </c>
      <c r="D649" s="135" t="s">
        <v>368</v>
      </c>
      <c r="E649" s="137" t="s">
        <v>369</v>
      </c>
      <c r="F649" s="138"/>
      <c r="G649" s="138"/>
      <c r="H649" s="139"/>
    </row>
    <row r="650" ht="15.75" customHeight="1">
      <c r="A650" s="133"/>
      <c r="B650" s="128"/>
      <c r="C650" s="134" t="str">
        <f>if(A650="", "", vlookup(A650+0.01, 'SEO Implementation Checklist'!$B:$E, counta('SEO Implementation Checklist'!$B$2:$E$2), true))</f>
        <v/>
      </c>
      <c r="D650" s="135" t="s">
        <v>368</v>
      </c>
      <c r="E650" s="137" t="s">
        <v>369</v>
      </c>
      <c r="F650" s="138"/>
      <c r="G650" s="138"/>
      <c r="H650" s="139"/>
    </row>
    <row r="651" ht="15.75" customHeight="1">
      <c r="A651" s="133"/>
      <c r="B651" s="128"/>
      <c r="C651" s="134" t="str">
        <f>if(A651="", "", vlookup(A651+0.01, 'SEO Implementation Checklist'!$B:$E, counta('SEO Implementation Checklist'!$B$2:$E$2), true))</f>
        <v/>
      </c>
      <c r="D651" s="135" t="s">
        <v>368</v>
      </c>
      <c r="E651" s="137" t="s">
        <v>369</v>
      </c>
      <c r="F651" s="138"/>
      <c r="G651" s="138"/>
      <c r="H651" s="139"/>
    </row>
    <row r="652" ht="15.75" customHeight="1">
      <c r="A652" s="133"/>
      <c r="B652" s="128"/>
      <c r="C652" s="134" t="str">
        <f>if(A652="", "", vlookup(A652+0.01, 'SEO Implementation Checklist'!$B:$E, counta('SEO Implementation Checklist'!$B$2:$E$2), true))</f>
        <v/>
      </c>
      <c r="D652" s="135" t="s">
        <v>368</v>
      </c>
      <c r="E652" s="137" t="s">
        <v>369</v>
      </c>
      <c r="F652" s="138"/>
      <c r="G652" s="138"/>
      <c r="H652" s="139"/>
    </row>
    <row r="653" ht="15.75" customHeight="1">
      <c r="A653" s="133"/>
      <c r="B653" s="128"/>
      <c r="C653" s="134" t="str">
        <f>if(A653="", "", vlookup(A653+0.01, 'SEO Implementation Checklist'!$B:$E, counta('SEO Implementation Checklist'!$B$2:$E$2), true))</f>
        <v/>
      </c>
      <c r="D653" s="135" t="s">
        <v>368</v>
      </c>
      <c r="E653" s="137" t="s">
        <v>369</v>
      </c>
      <c r="F653" s="138"/>
      <c r="G653" s="138"/>
      <c r="H653" s="139"/>
    </row>
    <row r="654" ht="15.75" customHeight="1">
      <c r="A654" s="133"/>
      <c r="B654" s="128"/>
      <c r="C654" s="134" t="str">
        <f>if(A654="", "", vlookup(A654+0.01, 'SEO Implementation Checklist'!$B:$E, counta('SEO Implementation Checklist'!$B$2:$E$2), true))</f>
        <v/>
      </c>
      <c r="D654" s="135" t="s">
        <v>368</v>
      </c>
      <c r="E654" s="137" t="s">
        <v>369</v>
      </c>
      <c r="F654" s="138"/>
      <c r="G654" s="138"/>
      <c r="H654" s="139"/>
    </row>
    <row r="655" ht="15.75" customHeight="1">
      <c r="A655" s="133"/>
      <c r="B655" s="128"/>
      <c r="C655" s="134" t="str">
        <f>if(A655="", "", vlookup(A655+0.01, 'SEO Implementation Checklist'!$B:$E, counta('SEO Implementation Checklist'!$B$2:$E$2), true))</f>
        <v/>
      </c>
      <c r="D655" s="135" t="s">
        <v>368</v>
      </c>
      <c r="E655" s="137" t="s">
        <v>369</v>
      </c>
      <c r="F655" s="138"/>
      <c r="G655" s="138"/>
      <c r="H655" s="139"/>
    </row>
    <row r="656" ht="15.75" customHeight="1">
      <c r="A656" s="133"/>
      <c r="B656" s="128"/>
      <c r="C656" s="134" t="str">
        <f>if(A656="", "", vlookup(A656+0.01, 'SEO Implementation Checklist'!$B:$E, counta('SEO Implementation Checklist'!$B$2:$E$2), true))</f>
        <v/>
      </c>
      <c r="D656" s="135" t="s">
        <v>368</v>
      </c>
      <c r="E656" s="137" t="s">
        <v>369</v>
      </c>
      <c r="F656" s="138"/>
      <c r="G656" s="138"/>
      <c r="H656" s="139"/>
    </row>
    <row r="657" ht="15.75" customHeight="1">
      <c r="A657" s="133"/>
      <c r="B657" s="128"/>
      <c r="C657" s="134" t="str">
        <f>if(A657="", "", vlookup(A657+0.01, 'SEO Implementation Checklist'!$B:$E, counta('SEO Implementation Checklist'!$B$2:$E$2), true))</f>
        <v/>
      </c>
      <c r="D657" s="135" t="s">
        <v>368</v>
      </c>
      <c r="E657" s="137" t="s">
        <v>369</v>
      </c>
      <c r="F657" s="138"/>
      <c r="G657" s="138"/>
      <c r="H657" s="139"/>
    </row>
    <row r="658" ht="15.75" customHeight="1">
      <c r="A658" s="133"/>
      <c r="B658" s="128"/>
      <c r="C658" s="134" t="str">
        <f>if(A658="", "", vlookup(A658+0.01, 'SEO Implementation Checklist'!$B:$E, counta('SEO Implementation Checklist'!$B$2:$E$2), true))</f>
        <v/>
      </c>
      <c r="D658" s="135" t="s">
        <v>368</v>
      </c>
      <c r="E658" s="137" t="s">
        <v>369</v>
      </c>
      <c r="F658" s="138"/>
      <c r="G658" s="138"/>
      <c r="H658" s="139"/>
    </row>
    <row r="659" ht="15.75" customHeight="1">
      <c r="A659" s="133"/>
      <c r="B659" s="128"/>
      <c r="C659" s="134" t="str">
        <f>if(A659="", "", vlookup(A659+0.01, 'SEO Implementation Checklist'!$B:$E, counta('SEO Implementation Checklist'!$B$2:$E$2), true))</f>
        <v/>
      </c>
      <c r="D659" s="135" t="s">
        <v>368</v>
      </c>
      <c r="E659" s="137" t="s">
        <v>369</v>
      </c>
      <c r="F659" s="138"/>
      <c r="G659" s="138"/>
      <c r="H659" s="139"/>
    </row>
    <row r="660" ht="15.75" customHeight="1">
      <c r="A660" s="133"/>
      <c r="B660" s="128"/>
      <c r="C660" s="134" t="str">
        <f>if(A660="", "", vlookup(A660+0.01, 'SEO Implementation Checklist'!$B:$E, counta('SEO Implementation Checklist'!$B$2:$E$2), true))</f>
        <v/>
      </c>
      <c r="D660" s="135" t="s">
        <v>368</v>
      </c>
      <c r="E660" s="137" t="s">
        <v>369</v>
      </c>
      <c r="F660" s="138"/>
      <c r="G660" s="138"/>
      <c r="H660" s="139"/>
    </row>
    <row r="661" ht="15.75" customHeight="1">
      <c r="A661" s="133"/>
      <c r="B661" s="128"/>
      <c r="C661" s="134" t="str">
        <f>if(A661="", "", vlookup(A661+0.01, 'SEO Implementation Checklist'!$B:$E, counta('SEO Implementation Checklist'!$B$2:$E$2), true))</f>
        <v/>
      </c>
      <c r="D661" s="135" t="s">
        <v>368</v>
      </c>
      <c r="E661" s="137" t="s">
        <v>369</v>
      </c>
      <c r="F661" s="138"/>
      <c r="G661" s="138"/>
      <c r="H661" s="139"/>
    </row>
    <row r="662" ht="15.75" customHeight="1">
      <c r="A662" s="133"/>
      <c r="B662" s="128"/>
      <c r="C662" s="134" t="str">
        <f>if(A662="", "", vlookup(A662+0.01, 'SEO Implementation Checklist'!$B:$E, counta('SEO Implementation Checklist'!$B$2:$E$2), true))</f>
        <v/>
      </c>
      <c r="D662" s="135" t="s">
        <v>368</v>
      </c>
      <c r="E662" s="137" t="s">
        <v>369</v>
      </c>
      <c r="F662" s="138"/>
      <c r="G662" s="138"/>
      <c r="H662" s="139"/>
    </row>
    <row r="663" ht="15.75" customHeight="1">
      <c r="A663" s="133"/>
      <c r="B663" s="128"/>
      <c r="C663" s="134" t="str">
        <f>if(A663="", "", vlookup(A663+0.01, 'SEO Implementation Checklist'!$B:$E, counta('SEO Implementation Checklist'!$B$2:$E$2), true))</f>
        <v/>
      </c>
      <c r="D663" s="135" t="s">
        <v>368</v>
      </c>
      <c r="E663" s="137" t="s">
        <v>369</v>
      </c>
      <c r="F663" s="138"/>
      <c r="G663" s="138"/>
      <c r="H663" s="139"/>
    </row>
    <row r="664" ht="15.75" customHeight="1">
      <c r="A664" s="133"/>
      <c r="B664" s="128"/>
      <c r="C664" s="134" t="str">
        <f>if(A664="", "", vlookup(A664+0.01, 'SEO Implementation Checklist'!$B:$E, counta('SEO Implementation Checklist'!$B$2:$E$2), true))</f>
        <v/>
      </c>
      <c r="D664" s="135" t="s">
        <v>368</v>
      </c>
      <c r="E664" s="137" t="s">
        <v>369</v>
      </c>
      <c r="F664" s="138"/>
      <c r="G664" s="138"/>
      <c r="H664" s="139"/>
    </row>
    <row r="665" ht="15.75" customHeight="1">
      <c r="A665" s="133"/>
      <c r="B665" s="128"/>
      <c r="C665" s="134" t="str">
        <f>if(A665="", "", vlookup(A665+0.01, 'SEO Implementation Checklist'!$B:$E, counta('SEO Implementation Checklist'!$B$2:$E$2), true))</f>
        <v/>
      </c>
      <c r="D665" s="135" t="s">
        <v>368</v>
      </c>
      <c r="E665" s="137" t="s">
        <v>369</v>
      </c>
      <c r="F665" s="138"/>
      <c r="G665" s="138"/>
      <c r="H665" s="139"/>
    </row>
    <row r="666" ht="15.75" customHeight="1">
      <c r="A666" s="133"/>
      <c r="B666" s="128"/>
      <c r="C666" s="134" t="str">
        <f>if(A666="", "", vlookup(A666+0.01, 'SEO Implementation Checklist'!$B:$E, counta('SEO Implementation Checklist'!$B$2:$E$2), true))</f>
        <v/>
      </c>
      <c r="D666" s="135" t="s">
        <v>368</v>
      </c>
      <c r="E666" s="137" t="s">
        <v>369</v>
      </c>
      <c r="F666" s="138"/>
      <c r="G666" s="138"/>
      <c r="H666" s="139"/>
    </row>
    <row r="667" ht="15.75" customHeight="1">
      <c r="A667" s="133"/>
      <c r="B667" s="128"/>
      <c r="C667" s="134" t="str">
        <f>if(A667="", "", vlookup(A667+0.01, 'SEO Implementation Checklist'!$B:$E, counta('SEO Implementation Checklist'!$B$2:$E$2), true))</f>
        <v/>
      </c>
      <c r="D667" s="135" t="s">
        <v>368</v>
      </c>
      <c r="E667" s="137" t="s">
        <v>369</v>
      </c>
      <c r="F667" s="138"/>
      <c r="G667" s="138"/>
      <c r="H667" s="139"/>
    </row>
    <row r="668" ht="15.75" customHeight="1">
      <c r="A668" s="133"/>
      <c r="B668" s="128"/>
      <c r="C668" s="134" t="str">
        <f>if(A668="", "", vlookup(A668+0.01, 'SEO Implementation Checklist'!$B:$E, counta('SEO Implementation Checklist'!$B$2:$E$2), true))</f>
        <v/>
      </c>
      <c r="D668" s="135" t="s">
        <v>368</v>
      </c>
      <c r="E668" s="137" t="s">
        <v>369</v>
      </c>
      <c r="F668" s="138"/>
      <c r="G668" s="138"/>
      <c r="H668" s="139"/>
    </row>
    <row r="669" ht="15.75" customHeight="1">
      <c r="A669" s="133"/>
      <c r="B669" s="128"/>
      <c r="C669" s="134" t="str">
        <f>if(A669="", "", vlookup(A669+0.01, 'SEO Implementation Checklist'!$B:$E, counta('SEO Implementation Checklist'!$B$2:$E$2), true))</f>
        <v/>
      </c>
      <c r="D669" s="135" t="s">
        <v>368</v>
      </c>
      <c r="E669" s="137" t="s">
        <v>369</v>
      </c>
      <c r="F669" s="138"/>
      <c r="G669" s="138"/>
      <c r="H669" s="139"/>
    </row>
    <row r="670" ht="15.75" customHeight="1">
      <c r="A670" s="133"/>
      <c r="B670" s="128"/>
      <c r="C670" s="134" t="str">
        <f>if(A670="", "", vlookup(A670+0.01, 'SEO Implementation Checklist'!$B:$E, counta('SEO Implementation Checklist'!$B$2:$E$2), true))</f>
        <v/>
      </c>
      <c r="D670" s="135" t="s">
        <v>368</v>
      </c>
      <c r="E670" s="137" t="s">
        <v>369</v>
      </c>
      <c r="F670" s="138"/>
      <c r="G670" s="138"/>
      <c r="H670" s="139"/>
    </row>
    <row r="671" ht="15.75" customHeight="1">
      <c r="A671" s="133"/>
      <c r="B671" s="128"/>
      <c r="C671" s="134" t="str">
        <f>if(A671="", "", vlookup(A671+0.01, 'SEO Implementation Checklist'!$B:$E, counta('SEO Implementation Checklist'!$B$2:$E$2), true))</f>
        <v/>
      </c>
      <c r="D671" s="135" t="s">
        <v>368</v>
      </c>
      <c r="E671" s="137" t="s">
        <v>369</v>
      </c>
      <c r="F671" s="138"/>
      <c r="G671" s="138"/>
      <c r="H671" s="139"/>
    </row>
    <row r="672" ht="15.75" customHeight="1">
      <c r="A672" s="133"/>
      <c r="B672" s="128"/>
      <c r="C672" s="134" t="str">
        <f>if(A672="", "", vlookup(A672+0.01, 'SEO Implementation Checklist'!$B:$E, counta('SEO Implementation Checklist'!$B$2:$E$2), true))</f>
        <v/>
      </c>
      <c r="D672" s="135" t="s">
        <v>368</v>
      </c>
      <c r="E672" s="137" t="s">
        <v>369</v>
      </c>
      <c r="F672" s="138"/>
      <c r="G672" s="138"/>
      <c r="H672" s="139"/>
    </row>
    <row r="673" ht="15.75" customHeight="1">
      <c r="A673" s="133"/>
      <c r="B673" s="128"/>
      <c r="C673" s="134" t="str">
        <f>if(A673="", "", vlookup(A673+0.01, 'SEO Implementation Checklist'!$B:$E, counta('SEO Implementation Checklist'!$B$2:$E$2), true))</f>
        <v/>
      </c>
      <c r="D673" s="135" t="s">
        <v>368</v>
      </c>
      <c r="E673" s="137" t="s">
        <v>369</v>
      </c>
      <c r="F673" s="138"/>
      <c r="G673" s="138"/>
      <c r="H673" s="139"/>
    </row>
    <row r="674" ht="15.75" customHeight="1">
      <c r="A674" s="133"/>
      <c r="B674" s="128"/>
      <c r="C674" s="134" t="str">
        <f>if(A674="", "", vlookup(A674+0.01, 'SEO Implementation Checklist'!$B:$E, counta('SEO Implementation Checklist'!$B$2:$E$2), true))</f>
        <v/>
      </c>
      <c r="D674" s="135" t="s">
        <v>368</v>
      </c>
      <c r="E674" s="137" t="s">
        <v>369</v>
      </c>
      <c r="F674" s="138"/>
      <c r="G674" s="138"/>
      <c r="H674" s="139"/>
    </row>
    <row r="675" ht="15.75" customHeight="1">
      <c r="A675" s="133"/>
      <c r="B675" s="128"/>
      <c r="C675" s="134" t="str">
        <f>if(A675="", "", vlookup(A675+0.01, 'SEO Implementation Checklist'!$B:$E, counta('SEO Implementation Checklist'!$B$2:$E$2), true))</f>
        <v/>
      </c>
      <c r="D675" s="135" t="s">
        <v>368</v>
      </c>
      <c r="E675" s="137" t="s">
        <v>369</v>
      </c>
      <c r="F675" s="138"/>
      <c r="G675" s="138"/>
      <c r="H675" s="139"/>
    </row>
    <row r="676" ht="15.75" customHeight="1">
      <c r="A676" s="133"/>
      <c r="B676" s="128"/>
      <c r="C676" s="134" t="str">
        <f>if(A676="", "", vlookup(A676+0.01, 'SEO Implementation Checklist'!$B:$E, counta('SEO Implementation Checklist'!$B$2:$E$2), true))</f>
        <v/>
      </c>
      <c r="D676" s="135" t="s">
        <v>368</v>
      </c>
      <c r="E676" s="137" t="s">
        <v>369</v>
      </c>
      <c r="F676" s="138"/>
      <c r="G676" s="138"/>
      <c r="H676" s="139"/>
    </row>
    <row r="677" ht="15.75" customHeight="1">
      <c r="A677" s="133"/>
      <c r="B677" s="128"/>
      <c r="C677" s="134" t="str">
        <f>if(A677="", "", vlookup(A677+0.01, 'SEO Implementation Checklist'!$B:$E, counta('SEO Implementation Checklist'!$B$2:$E$2), true))</f>
        <v/>
      </c>
      <c r="D677" s="135" t="s">
        <v>368</v>
      </c>
      <c r="E677" s="137" t="s">
        <v>369</v>
      </c>
      <c r="F677" s="138"/>
      <c r="G677" s="138"/>
      <c r="H677" s="139"/>
    </row>
    <row r="678" ht="15.75" customHeight="1">
      <c r="A678" s="133"/>
      <c r="B678" s="128"/>
      <c r="C678" s="134" t="str">
        <f>if(A678="", "", vlookup(A678+0.01, 'SEO Implementation Checklist'!$B:$E, counta('SEO Implementation Checklist'!$B$2:$E$2), true))</f>
        <v/>
      </c>
      <c r="D678" s="135" t="s">
        <v>368</v>
      </c>
      <c r="E678" s="137" t="s">
        <v>369</v>
      </c>
      <c r="F678" s="138"/>
      <c r="G678" s="138"/>
      <c r="H678" s="139"/>
    </row>
    <row r="679" ht="15.75" customHeight="1">
      <c r="A679" s="133"/>
      <c r="B679" s="128"/>
      <c r="C679" s="134" t="str">
        <f>if(A679="", "", vlookup(A679+0.01, 'SEO Implementation Checklist'!$B:$E, counta('SEO Implementation Checklist'!$B$2:$E$2), true))</f>
        <v/>
      </c>
      <c r="D679" s="135" t="s">
        <v>368</v>
      </c>
      <c r="E679" s="137" t="s">
        <v>369</v>
      </c>
      <c r="F679" s="138"/>
      <c r="G679" s="138"/>
      <c r="H679" s="139"/>
    </row>
    <row r="680" ht="15.75" customHeight="1">
      <c r="A680" s="133"/>
      <c r="B680" s="128"/>
      <c r="C680" s="134" t="str">
        <f>if(A680="", "", vlookup(A680+0.01, 'SEO Implementation Checklist'!$B:$E, counta('SEO Implementation Checklist'!$B$2:$E$2), true))</f>
        <v/>
      </c>
      <c r="D680" s="135" t="s">
        <v>368</v>
      </c>
      <c r="E680" s="137" t="s">
        <v>369</v>
      </c>
      <c r="F680" s="138"/>
      <c r="G680" s="138"/>
      <c r="H680" s="139"/>
    </row>
    <row r="681" ht="15.75" customHeight="1">
      <c r="A681" s="133"/>
      <c r="B681" s="128"/>
      <c r="C681" s="134" t="str">
        <f>if(A681="", "", vlookup(A681+0.01, 'SEO Implementation Checklist'!$B:$E, counta('SEO Implementation Checklist'!$B$2:$E$2), true))</f>
        <v/>
      </c>
      <c r="D681" s="135" t="s">
        <v>368</v>
      </c>
      <c r="E681" s="137" t="s">
        <v>369</v>
      </c>
      <c r="F681" s="138"/>
      <c r="G681" s="138"/>
      <c r="H681" s="139"/>
    </row>
    <row r="682" ht="15.75" customHeight="1">
      <c r="A682" s="133"/>
      <c r="B682" s="128"/>
      <c r="C682" s="134" t="str">
        <f>if(A682="", "", vlookup(A682+0.01, 'SEO Implementation Checklist'!$B:$E, counta('SEO Implementation Checklist'!$B$2:$E$2), true))</f>
        <v/>
      </c>
      <c r="D682" s="135" t="s">
        <v>368</v>
      </c>
      <c r="E682" s="137" t="s">
        <v>369</v>
      </c>
      <c r="F682" s="138"/>
      <c r="G682" s="138"/>
      <c r="H682" s="139"/>
    </row>
    <row r="683" ht="15.75" customHeight="1">
      <c r="A683" s="133"/>
      <c r="B683" s="128"/>
      <c r="C683" s="134" t="str">
        <f>if(A683="", "", vlookup(A683+0.01, 'SEO Implementation Checklist'!$B:$E, counta('SEO Implementation Checklist'!$B$2:$E$2), true))</f>
        <v/>
      </c>
      <c r="D683" s="135" t="s">
        <v>368</v>
      </c>
      <c r="E683" s="137" t="s">
        <v>369</v>
      </c>
      <c r="F683" s="138"/>
      <c r="G683" s="138"/>
      <c r="H683" s="139"/>
    </row>
    <row r="684" ht="15.75" customHeight="1">
      <c r="A684" s="133"/>
      <c r="B684" s="128"/>
      <c r="C684" s="134" t="str">
        <f>if(A684="", "", vlookup(A684+0.01, 'SEO Implementation Checklist'!$B:$E, counta('SEO Implementation Checklist'!$B$2:$E$2), true))</f>
        <v/>
      </c>
      <c r="D684" s="135" t="s">
        <v>368</v>
      </c>
      <c r="E684" s="137" t="s">
        <v>369</v>
      </c>
      <c r="F684" s="138"/>
      <c r="G684" s="138"/>
      <c r="H684" s="139"/>
    </row>
    <row r="685" ht="15.75" customHeight="1">
      <c r="A685" s="133"/>
      <c r="B685" s="128"/>
      <c r="C685" s="134" t="str">
        <f>if(A685="", "", vlookup(A685+0.01, 'SEO Implementation Checklist'!$B:$E, counta('SEO Implementation Checklist'!$B$2:$E$2), true))</f>
        <v/>
      </c>
      <c r="D685" s="135" t="s">
        <v>368</v>
      </c>
      <c r="E685" s="137" t="s">
        <v>369</v>
      </c>
      <c r="F685" s="138"/>
      <c r="G685" s="138"/>
      <c r="H685" s="139"/>
    </row>
    <row r="686" ht="15.75" customHeight="1">
      <c r="A686" s="133"/>
      <c r="B686" s="128"/>
      <c r="C686" s="134" t="str">
        <f>if(A686="", "", vlookup(A686+0.01, 'SEO Implementation Checklist'!$B:$E, counta('SEO Implementation Checklist'!$B$2:$E$2), true))</f>
        <v/>
      </c>
      <c r="D686" s="135" t="s">
        <v>368</v>
      </c>
      <c r="E686" s="137" t="s">
        <v>369</v>
      </c>
      <c r="F686" s="138"/>
      <c r="G686" s="138"/>
      <c r="H686" s="139"/>
    </row>
    <row r="687" ht="15.75" customHeight="1">
      <c r="A687" s="133"/>
      <c r="B687" s="128"/>
      <c r="C687" s="134" t="str">
        <f>if(A687="", "", vlookup(A687+0.01, 'SEO Implementation Checklist'!$B:$E, counta('SEO Implementation Checklist'!$B$2:$E$2), true))</f>
        <v/>
      </c>
      <c r="D687" s="135" t="s">
        <v>368</v>
      </c>
      <c r="E687" s="137" t="s">
        <v>369</v>
      </c>
      <c r="F687" s="138"/>
      <c r="G687" s="138"/>
      <c r="H687" s="139"/>
    </row>
    <row r="688" ht="15.75" customHeight="1">
      <c r="A688" s="133"/>
      <c r="B688" s="128"/>
      <c r="C688" s="134" t="str">
        <f>if(A688="", "", vlookup(A688+0.01, 'SEO Implementation Checklist'!$B:$E, counta('SEO Implementation Checklist'!$B$2:$E$2), true))</f>
        <v/>
      </c>
      <c r="D688" s="135" t="s">
        <v>368</v>
      </c>
      <c r="E688" s="137" t="s">
        <v>369</v>
      </c>
      <c r="F688" s="138"/>
      <c r="G688" s="138"/>
      <c r="H688" s="139"/>
    </row>
    <row r="689" ht="15.75" customHeight="1">
      <c r="A689" s="133"/>
      <c r="B689" s="128"/>
      <c r="C689" s="134" t="str">
        <f>if(A689="", "", vlookup(A689+0.01, 'SEO Implementation Checklist'!$B:$E, counta('SEO Implementation Checklist'!$B$2:$E$2), true))</f>
        <v/>
      </c>
      <c r="D689" s="135" t="s">
        <v>368</v>
      </c>
      <c r="E689" s="137" t="s">
        <v>369</v>
      </c>
      <c r="F689" s="138"/>
      <c r="G689" s="138"/>
      <c r="H689" s="139"/>
    </row>
    <row r="690" ht="15.75" customHeight="1">
      <c r="A690" s="133"/>
      <c r="B690" s="128"/>
      <c r="C690" s="134" t="str">
        <f>if(A690="", "", vlookup(A690+0.01, 'SEO Implementation Checklist'!$B:$E, counta('SEO Implementation Checklist'!$B$2:$E$2), true))</f>
        <v/>
      </c>
      <c r="D690" s="135" t="s">
        <v>368</v>
      </c>
      <c r="E690" s="137" t="s">
        <v>369</v>
      </c>
      <c r="F690" s="138"/>
      <c r="G690" s="138"/>
      <c r="H690" s="139"/>
    </row>
    <row r="691" ht="15.75" customHeight="1">
      <c r="A691" s="133"/>
      <c r="B691" s="128"/>
      <c r="C691" s="134" t="str">
        <f>if(A691="", "", vlookup(A691+0.01, 'SEO Implementation Checklist'!$B:$E, counta('SEO Implementation Checklist'!$B$2:$E$2), true))</f>
        <v/>
      </c>
      <c r="D691" s="135" t="s">
        <v>368</v>
      </c>
      <c r="E691" s="137" t="s">
        <v>369</v>
      </c>
      <c r="F691" s="138"/>
      <c r="G691" s="138"/>
      <c r="H691" s="139"/>
    </row>
    <row r="692" ht="15.75" customHeight="1">
      <c r="A692" s="133"/>
      <c r="B692" s="128"/>
      <c r="C692" s="134" t="str">
        <f>if(A692="", "", vlookup(A692+0.01, 'SEO Implementation Checklist'!$B:$E, counta('SEO Implementation Checklist'!$B$2:$E$2), true))</f>
        <v/>
      </c>
      <c r="D692" s="135" t="s">
        <v>368</v>
      </c>
      <c r="E692" s="137" t="s">
        <v>369</v>
      </c>
      <c r="F692" s="138"/>
      <c r="G692" s="138"/>
      <c r="H692" s="139"/>
    </row>
    <row r="693" ht="15.75" customHeight="1">
      <c r="A693" s="133"/>
      <c r="B693" s="128"/>
      <c r="C693" s="134" t="str">
        <f>if(A693="", "", vlookup(A693+0.01, 'SEO Implementation Checklist'!$B:$E, counta('SEO Implementation Checklist'!$B$2:$E$2), true))</f>
        <v/>
      </c>
      <c r="D693" s="135" t="s">
        <v>368</v>
      </c>
      <c r="E693" s="137" t="s">
        <v>369</v>
      </c>
      <c r="F693" s="138"/>
      <c r="G693" s="138"/>
      <c r="H693" s="139"/>
    </row>
    <row r="694" ht="15.75" customHeight="1">
      <c r="A694" s="133"/>
      <c r="B694" s="128"/>
      <c r="C694" s="134" t="str">
        <f>if(A694="", "", vlookup(A694+0.01, 'SEO Implementation Checklist'!$B:$E, counta('SEO Implementation Checklist'!$B$2:$E$2), true))</f>
        <v/>
      </c>
      <c r="D694" s="135" t="s">
        <v>368</v>
      </c>
      <c r="E694" s="137" t="s">
        <v>369</v>
      </c>
      <c r="F694" s="138"/>
      <c r="G694" s="138"/>
      <c r="H694" s="139"/>
    </row>
    <row r="695" ht="15.75" customHeight="1">
      <c r="A695" s="133"/>
      <c r="B695" s="128"/>
      <c r="C695" s="134" t="str">
        <f>if(A695="", "", vlookup(A695+0.01, 'SEO Implementation Checklist'!$B:$E, counta('SEO Implementation Checklist'!$B$2:$E$2), true))</f>
        <v/>
      </c>
      <c r="D695" s="135" t="s">
        <v>368</v>
      </c>
      <c r="E695" s="137" t="s">
        <v>369</v>
      </c>
      <c r="F695" s="138"/>
      <c r="G695" s="138"/>
      <c r="H695" s="139"/>
    </row>
    <row r="696" ht="15.75" customHeight="1">
      <c r="A696" s="133"/>
      <c r="B696" s="128"/>
      <c r="C696" s="134" t="str">
        <f>if(A696="", "", vlookup(A696+0.01, 'SEO Implementation Checklist'!$B:$E, counta('SEO Implementation Checklist'!$B$2:$E$2), true))</f>
        <v/>
      </c>
      <c r="D696" s="135" t="s">
        <v>368</v>
      </c>
      <c r="E696" s="137" t="s">
        <v>369</v>
      </c>
      <c r="F696" s="138"/>
      <c r="G696" s="138"/>
      <c r="H696" s="139"/>
    </row>
    <row r="697" ht="15.75" customHeight="1">
      <c r="A697" s="133"/>
      <c r="B697" s="128"/>
      <c r="C697" s="134" t="str">
        <f>if(A697="", "", vlookup(A697+0.01, 'SEO Implementation Checklist'!$B:$E, counta('SEO Implementation Checklist'!$B$2:$E$2), true))</f>
        <v/>
      </c>
      <c r="D697" s="135" t="s">
        <v>368</v>
      </c>
      <c r="E697" s="137" t="s">
        <v>369</v>
      </c>
      <c r="F697" s="138"/>
      <c r="G697" s="138"/>
      <c r="H697" s="139"/>
    </row>
    <row r="698" ht="15.75" customHeight="1">
      <c r="A698" s="133"/>
      <c r="B698" s="128"/>
      <c r="C698" s="134" t="str">
        <f>if(A698="", "", vlookup(A698+0.01, 'SEO Implementation Checklist'!$B:$E, counta('SEO Implementation Checklist'!$B$2:$E$2), true))</f>
        <v/>
      </c>
      <c r="D698" s="135" t="s">
        <v>368</v>
      </c>
      <c r="E698" s="137" t="s">
        <v>369</v>
      </c>
      <c r="F698" s="138"/>
      <c r="G698" s="138"/>
      <c r="H698" s="139"/>
    </row>
    <row r="699" ht="15.75" customHeight="1">
      <c r="A699" s="133"/>
      <c r="B699" s="128"/>
      <c r="C699" s="134" t="str">
        <f>if(A699="", "", vlookup(A699+0.01, 'SEO Implementation Checklist'!$B:$E, counta('SEO Implementation Checklist'!$B$2:$E$2), true))</f>
        <v/>
      </c>
      <c r="D699" s="135" t="s">
        <v>368</v>
      </c>
      <c r="E699" s="137" t="s">
        <v>369</v>
      </c>
      <c r="F699" s="138"/>
      <c r="G699" s="138"/>
      <c r="H699" s="139"/>
    </row>
    <row r="700" ht="15.75" customHeight="1">
      <c r="A700" s="133"/>
      <c r="B700" s="128"/>
      <c r="C700" s="134" t="str">
        <f>if(A700="", "", vlookup(A700+0.01, 'SEO Implementation Checklist'!$B:$E, counta('SEO Implementation Checklist'!$B$2:$E$2), true))</f>
        <v/>
      </c>
      <c r="D700" s="135" t="s">
        <v>368</v>
      </c>
      <c r="E700" s="137" t="s">
        <v>369</v>
      </c>
      <c r="F700" s="138"/>
      <c r="G700" s="138"/>
      <c r="H700" s="139"/>
    </row>
    <row r="701" ht="15.75" customHeight="1">
      <c r="A701" s="133"/>
      <c r="B701" s="128"/>
      <c r="C701" s="134" t="str">
        <f>if(A701="", "", vlookup(A701+0.01, 'SEO Implementation Checklist'!$B:$E, counta('SEO Implementation Checklist'!$B$2:$E$2), true))</f>
        <v/>
      </c>
      <c r="D701" s="135" t="s">
        <v>368</v>
      </c>
      <c r="E701" s="137" t="s">
        <v>369</v>
      </c>
      <c r="F701" s="138"/>
      <c r="G701" s="138"/>
      <c r="H701" s="139"/>
    </row>
    <row r="702" ht="15.75" customHeight="1">
      <c r="A702" s="133"/>
      <c r="B702" s="128"/>
      <c r="C702" s="134" t="str">
        <f>if(A702="", "", vlookup(A702+0.01, 'SEO Implementation Checklist'!$B:$E, counta('SEO Implementation Checklist'!$B$2:$E$2), true))</f>
        <v/>
      </c>
      <c r="D702" s="135" t="s">
        <v>368</v>
      </c>
      <c r="E702" s="137" t="s">
        <v>369</v>
      </c>
      <c r="F702" s="138"/>
      <c r="G702" s="138"/>
      <c r="H702" s="139"/>
    </row>
    <row r="703" ht="15.75" customHeight="1">
      <c r="A703" s="133"/>
      <c r="B703" s="128"/>
      <c r="C703" s="134" t="str">
        <f>if(A703="", "", vlookup(A703+0.01, 'SEO Implementation Checklist'!$B:$E, counta('SEO Implementation Checklist'!$B$2:$E$2), true))</f>
        <v/>
      </c>
      <c r="D703" s="135" t="s">
        <v>368</v>
      </c>
      <c r="E703" s="137" t="s">
        <v>369</v>
      </c>
      <c r="F703" s="138"/>
      <c r="G703" s="138"/>
      <c r="H703" s="139"/>
    </row>
    <row r="704" ht="15.75" customHeight="1">
      <c r="A704" s="133"/>
      <c r="B704" s="128"/>
      <c r="C704" s="134" t="str">
        <f>if(A704="", "", vlookup(A704+0.01, 'SEO Implementation Checklist'!$B:$E, counta('SEO Implementation Checklist'!$B$2:$E$2), true))</f>
        <v/>
      </c>
      <c r="D704" s="135" t="s">
        <v>368</v>
      </c>
      <c r="E704" s="137" t="s">
        <v>369</v>
      </c>
      <c r="F704" s="138"/>
      <c r="G704" s="138"/>
      <c r="H704" s="139"/>
    </row>
    <row r="705" ht="15.75" customHeight="1">
      <c r="A705" s="133"/>
      <c r="B705" s="128"/>
      <c r="C705" s="134" t="str">
        <f>if(A705="", "", vlookup(A705+0.01, 'SEO Implementation Checklist'!$B:$E, counta('SEO Implementation Checklist'!$B$2:$E$2), true))</f>
        <v/>
      </c>
      <c r="D705" s="135" t="s">
        <v>368</v>
      </c>
      <c r="E705" s="137" t="s">
        <v>369</v>
      </c>
      <c r="F705" s="138"/>
      <c r="G705" s="138"/>
      <c r="H705" s="139"/>
    </row>
    <row r="706" ht="15.75" customHeight="1">
      <c r="A706" s="133"/>
      <c r="B706" s="128"/>
      <c r="C706" s="134" t="str">
        <f>if(A706="", "", vlookup(A706+0.01, 'SEO Implementation Checklist'!$B:$E, counta('SEO Implementation Checklist'!$B$2:$E$2), true))</f>
        <v/>
      </c>
      <c r="D706" s="135" t="s">
        <v>368</v>
      </c>
      <c r="E706" s="137" t="s">
        <v>369</v>
      </c>
      <c r="F706" s="138"/>
      <c r="G706" s="138"/>
      <c r="H706" s="139"/>
    </row>
    <row r="707" ht="15.75" customHeight="1">
      <c r="A707" s="133"/>
      <c r="B707" s="128"/>
      <c r="C707" s="134" t="str">
        <f>if(A707="", "", vlookup(A707+0.01, 'SEO Implementation Checklist'!$B:$E, counta('SEO Implementation Checklist'!$B$2:$E$2), true))</f>
        <v/>
      </c>
      <c r="D707" s="135" t="s">
        <v>368</v>
      </c>
      <c r="E707" s="137" t="s">
        <v>369</v>
      </c>
      <c r="F707" s="138"/>
      <c r="G707" s="138"/>
      <c r="H707" s="139"/>
    </row>
    <row r="708" ht="15.75" customHeight="1">
      <c r="A708" s="133"/>
      <c r="B708" s="128"/>
      <c r="C708" s="134" t="str">
        <f>if(A708="", "", vlookup(A708+0.01, 'SEO Implementation Checklist'!$B:$E, counta('SEO Implementation Checklist'!$B$2:$E$2), true))</f>
        <v/>
      </c>
      <c r="D708" s="135" t="s">
        <v>368</v>
      </c>
      <c r="E708" s="137" t="s">
        <v>369</v>
      </c>
      <c r="F708" s="138"/>
      <c r="G708" s="138"/>
      <c r="H708" s="139"/>
    </row>
    <row r="709" ht="15.75" customHeight="1">
      <c r="A709" s="133"/>
      <c r="B709" s="128"/>
      <c r="C709" s="134" t="str">
        <f>if(A709="", "", vlookup(A709+0.01, 'SEO Implementation Checklist'!$B:$E, counta('SEO Implementation Checklist'!$B$2:$E$2), true))</f>
        <v/>
      </c>
      <c r="D709" s="135" t="s">
        <v>368</v>
      </c>
      <c r="E709" s="137" t="s">
        <v>369</v>
      </c>
      <c r="F709" s="138"/>
      <c r="G709" s="138"/>
      <c r="H709" s="139"/>
    </row>
    <row r="710" ht="15.75" customHeight="1">
      <c r="A710" s="133"/>
      <c r="B710" s="128"/>
      <c r="C710" s="134" t="str">
        <f>if(A710="", "", vlookup(A710+0.01, 'SEO Implementation Checklist'!$B:$E, counta('SEO Implementation Checklist'!$B$2:$E$2), true))</f>
        <v/>
      </c>
      <c r="D710" s="135" t="s">
        <v>368</v>
      </c>
      <c r="E710" s="137" t="s">
        <v>369</v>
      </c>
      <c r="F710" s="138"/>
      <c r="G710" s="138"/>
      <c r="H710" s="139"/>
    </row>
    <row r="711" ht="15.75" customHeight="1">
      <c r="A711" s="133"/>
      <c r="B711" s="128"/>
      <c r="C711" s="134" t="str">
        <f>if(A711="", "", vlookup(A711+0.01, 'SEO Implementation Checklist'!$B:$E, counta('SEO Implementation Checklist'!$B$2:$E$2), true))</f>
        <v/>
      </c>
      <c r="D711" s="135" t="s">
        <v>368</v>
      </c>
      <c r="E711" s="137" t="s">
        <v>369</v>
      </c>
      <c r="F711" s="138"/>
      <c r="G711" s="138"/>
      <c r="H711" s="139"/>
    </row>
    <row r="712" ht="15.75" customHeight="1">
      <c r="A712" s="133"/>
      <c r="B712" s="128"/>
      <c r="C712" s="134" t="str">
        <f>if(A712="", "", vlookup(A712+0.01, 'SEO Implementation Checklist'!$B:$E, counta('SEO Implementation Checklist'!$B$2:$E$2), true))</f>
        <v/>
      </c>
      <c r="D712" s="135" t="s">
        <v>368</v>
      </c>
      <c r="E712" s="137" t="s">
        <v>369</v>
      </c>
      <c r="F712" s="138"/>
      <c r="G712" s="138"/>
      <c r="H712" s="139"/>
    </row>
    <row r="713" ht="15.75" customHeight="1">
      <c r="A713" s="133"/>
      <c r="B713" s="128"/>
      <c r="C713" s="134" t="str">
        <f>if(A713="", "", vlookup(A713+0.01, 'SEO Implementation Checklist'!$B:$E, counta('SEO Implementation Checklist'!$B$2:$E$2), true))</f>
        <v/>
      </c>
      <c r="D713" s="135" t="s">
        <v>368</v>
      </c>
      <c r="E713" s="137" t="s">
        <v>369</v>
      </c>
      <c r="F713" s="138"/>
      <c r="G713" s="138"/>
      <c r="H713" s="139"/>
    </row>
    <row r="714" ht="15.75" customHeight="1">
      <c r="A714" s="133"/>
      <c r="B714" s="128"/>
      <c r="C714" s="134" t="str">
        <f>if(A714="", "", vlookup(A714+0.01, 'SEO Implementation Checklist'!$B:$E, counta('SEO Implementation Checklist'!$B$2:$E$2), true))</f>
        <v/>
      </c>
      <c r="D714" s="135" t="s">
        <v>368</v>
      </c>
      <c r="E714" s="137" t="s">
        <v>369</v>
      </c>
      <c r="F714" s="138"/>
      <c r="G714" s="138"/>
      <c r="H714" s="139"/>
    </row>
    <row r="715" ht="15.75" customHeight="1">
      <c r="A715" s="133"/>
      <c r="B715" s="128"/>
      <c r="C715" s="134" t="str">
        <f>if(A715="", "", vlookup(A715+0.01, 'SEO Implementation Checklist'!$B:$E, counta('SEO Implementation Checklist'!$B$2:$E$2), true))</f>
        <v/>
      </c>
      <c r="D715" s="135" t="s">
        <v>368</v>
      </c>
      <c r="E715" s="137" t="s">
        <v>369</v>
      </c>
      <c r="F715" s="138"/>
      <c r="G715" s="138"/>
      <c r="H715" s="139"/>
    </row>
    <row r="716" ht="15.75" customHeight="1">
      <c r="A716" s="133"/>
      <c r="B716" s="128"/>
      <c r="C716" s="134" t="str">
        <f>if(A716="", "", vlookup(A716+0.01, 'SEO Implementation Checklist'!$B:$E, counta('SEO Implementation Checklist'!$B$2:$E$2), true))</f>
        <v/>
      </c>
      <c r="D716" s="135" t="s">
        <v>368</v>
      </c>
      <c r="E716" s="137" t="s">
        <v>369</v>
      </c>
      <c r="F716" s="138"/>
      <c r="G716" s="138"/>
      <c r="H716" s="139"/>
    </row>
    <row r="717" ht="15.75" customHeight="1">
      <c r="A717" s="133"/>
      <c r="B717" s="128"/>
      <c r="C717" s="134" t="str">
        <f>if(A717="", "", vlookup(A717+0.01, 'SEO Implementation Checklist'!$B:$E, counta('SEO Implementation Checklist'!$B$2:$E$2), true))</f>
        <v/>
      </c>
      <c r="D717" s="135" t="s">
        <v>368</v>
      </c>
      <c r="E717" s="137" t="s">
        <v>369</v>
      </c>
      <c r="F717" s="138"/>
      <c r="G717" s="138"/>
      <c r="H717" s="139"/>
    </row>
    <row r="718" ht="15.75" customHeight="1">
      <c r="A718" s="133"/>
      <c r="B718" s="128"/>
      <c r="C718" s="134" t="str">
        <f>if(A718="", "", vlookup(A718+0.01, 'SEO Implementation Checklist'!$B:$E, counta('SEO Implementation Checklist'!$B$2:$E$2), true))</f>
        <v/>
      </c>
      <c r="D718" s="135" t="s">
        <v>368</v>
      </c>
      <c r="E718" s="137" t="s">
        <v>369</v>
      </c>
      <c r="F718" s="138"/>
      <c r="G718" s="138"/>
      <c r="H718" s="139"/>
    </row>
    <row r="719" ht="15.75" customHeight="1">
      <c r="A719" s="133"/>
      <c r="B719" s="128"/>
      <c r="C719" s="134" t="str">
        <f>if(A719="", "", vlookup(A719+0.01, 'SEO Implementation Checklist'!$B:$E, counta('SEO Implementation Checklist'!$B$2:$E$2), true))</f>
        <v/>
      </c>
      <c r="D719" s="135" t="s">
        <v>368</v>
      </c>
      <c r="E719" s="137" t="s">
        <v>369</v>
      </c>
      <c r="F719" s="138"/>
      <c r="G719" s="138"/>
      <c r="H719" s="139"/>
    </row>
    <row r="720" ht="15.75" customHeight="1">
      <c r="A720" s="133"/>
      <c r="B720" s="128"/>
      <c r="C720" s="134" t="str">
        <f>if(A720="", "", vlookup(A720+0.01, 'SEO Implementation Checklist'!$B:$E, counta('SEO Implementation Checklist'!$B$2:$E$2), true))</f>
        <v/>
      </c>
      <c r="D720" s="135" t="s">
        <v>368</v>
      </c>
      <c r="E720" s="137" t="s">
        <v>369</v>
      </c>
      <c r="F720" s="138"/>
      <c r="G720" s="138"/>
      <c r="H720" s="139"/>
    </row>
    <row r="721" ht="15.75" customHeight="1">
      <c r="A721" s="133"/>
      <c r="B721" s="128"/>
      <c r="C721" s="134" t="str">
        <f>if(A721="", "", vlookup(A721+0.01, 'SEO Implementation Checklist'!$B:$E, counta('SEO Implementation Checklist'!$B$2:$E$2), true))</f>
        <v/>
      </c>
      <c r="D721" s="135" t="s">
        <v>368</v>
      </c>
      <c r="E721" s="137" t="s">
        <v>369</v>
      </c>
      <c r="F721" s="138"/>
      <c r="G721" s="138"/>
      <c r="H721" s="139"/>
    </row>
    <row r="722" ht="15.75" customHeight="1">
      <c r="A722" s="133"/>
      <c r="B722" s="128"/>
      <c r="C722" s="134" t="str">
        <f>if(A722="", "", vlookup(A722+0.01, 'SEO Implementation Checklist'!$B:$E, counta('SEO Implementation Checklist'!$B$2:$E$2), true))</f>
        <v/>
      </c>
      <c r="D722" s="135" t="s">
        <v>368</v>
      </c>
      <c r="E722" s="137" t="s">
        <v>369</v>
      </c>
      <c r="F722" s="138"/>
      <c r="G722" s="138"/>
      <c r="H722" s="139"/>
    </row>
    <row r="723" ht="15.75" customHeight="1">
      <c r="A723" s="133"/>
      <c r="B723" s="128"/>
      <c r="C723" s="134" t="str">
        <f>if(A723="", "", vlookup(A723+0.01, 'SEO Implementation Checklist'!$B:$E, counta('SEO Implementation Checklist'!$B$2:$E$2), true))</f>
        <v/>
      </c>
      <c r="D723" s="135" t="s">
        <v>368</v>
      </c>
      <c r="E723" s="137" t="s">
        <v>369</v>
      </c>
      <c r="F723" s="138"/>
      <c r="G723" s="138"/>
      <c r="H723" s="139"/>
    </row>
    <row r="724" ht="15.75" customHeight="1">
      <c r="A724" s="133"/>
      <c r="B724" s="128"/>
      <c r="C724" s="134" t="str">
        <f>if(A724="", "", vlookup(A724+0.01, 'SEO Implementation Checklist'!$B:$E, counta('SEO Implementation Checklist'!$B$2:$E$2), true))</f>
        <v/>
      </c>
      <c r="D724" s="135" t="s">
        <v>368</v>
      </c>
      <c r="E724" s="137" t="s">
        <v>369</v>
      </c>
      <c r="F724" s="138"/>
      <c r="G724" s="138"/>
      <c r="H724" s="139"/>
    </row>
    <row r="725" ht="15.75" customHeight="1">
      <c r="A725" s="133"/>
      <c r="B725" s="128"/>
      <c r="C725" s="134" t="str">
        <f>if(A725="", "", vlookup(A725+0.01, 'SEO Implementation Checklist'!$B:$E, counta('SEO Implementation Checklist'!$B$2:$E$2), true))</f>
        <v/>
      </c>
      <c r="D725" s="135" t="s">
        <v>368</v>
      </c>
      <c r="E725" s="137" t="s">
        <v>369</v>
      </c>
      <c r="F725" s="138"/>
      <c r="G725" s="138"/>
      <c r="H725" s="139"/>
    </row>
    <row r="726" ht="15.75" customHeight="1">
      <c r="A726" s="133"/>
      <c r="B726" s="128"/>
      <c r="C726" s="134" t="str">
        <f>if(A726="", "", vlookup(A726+0.01, 'SEO Implementation Checklist'!$B:$E, counta('SEO Implementation Checklist'!$B$2:$E$2), true))</f>
        <v/>
      </c>
      <c r="D726" s="135" t="s">
        <v>368</v>
      </c>
      <c r="E726" s="137" t="s">
        <v>369</v>
      </c>
      <c r="F726" s="138"/>
      <c r="G726" s="138"/>
      <c r="H726" s="139"/>
    </row>
    <row r="727" ht="15.75" customHeight="1">
      <c r="A727" s="133"/>
      <c r="B727" s="128"/>
      <c r="C727" s="134" t="str">
        <f>if(A727="", "", vlookup(A727+0.01, 'SEO Implementation Checklist'!$B:$E, counta('SEO Implementation Checklist'!$B$2:$E$2), true))</f>
        <v/>
      </c>
      <c r="D727" s="135" t="s">
        <v>368</v>
      </c>
      <c r="E727" s="137" t="s">
        <v>369</v>
      </c>
      <c r="F727" s="138"/>
      <c r="G727" s="138"/>
      <c r="H727" s="139"/>
    </row>
    <row r="728" ht="15.75" customHeight="1">
      <c r="A728" s="133"/>
      <c r="B728" s="128"/>
      <c r="C728" s="134" t="str">
        <f>if(A728="", "", vlookup(A728+0.01, 'SEO Implementation Checklist'!$B:$E, counta('SEO Implementation Checklist'!$B$2:$E$2), true))</f>
        <v/>
      </c>
      <c r="D728" s="135" t="s">
        <v>368</v>
      </c>
      <c r="E728" s="137" t="s">
        <v>369</v>
      </c>
      <c r="F728" s="138"/>
      <c r="G728" s="138"/>
      <c r="H728" s="139"/>
    </row>
    <row r="729" ht="15.75" customHeight="1">
      <c r="A729" s="133"/>
      <c r="B729" s="128"/>
      <c r="C729" s="134" t="str">
        <f>if(A729="", "", vlookup(A729+0.01, 'SEO Implementation Checklist'!$B:$E, counta('SEO Implementation Checklist'!$B$2:$E$2), true))</f>
        <v/>
      </c>
      <c r="D729" s="135" t="s">
        <v>368</v>
      </c>
      <c r="E729" s="137" t="s">
        <v>369</v>
      </c>
      <c r="F729" s="138"/>
      <c r="G729" s="138"/>
      <c r="H729" s="139"/>
    </row>
    <row r="730" ht="15.75" customHeight="1">
      <c r="A730" s="133"/>
      <c r="B730" s="128"/>
      <c r="C730" s="134" t="str">
        <f>if(A730="", "", vlookup(A730+0.01, 'SEO Implementation Checklist'!$B:$E, counta('SEO Implementation Checklist'!$B$2:$E$2), true))</f>
        <v/>
      </c>
      <c r="D730" s="135" t="s">
        <v>368</v>
      </c>
      <c r="E730" s="137" t="s">
        <v>369</v>
      </c>
      <c r="F730" s="138"/>
      <c r="G730" s="138"/>
      <c r="H730" s="139"/>
    </row>
    <row r="731" ht="15.75" customHeight="1">
      <c r="A731" s="133"/>
      <c r="B731" s="128"/>
      <c r="C731" s="134" t="str">
        <f>if(A731="", "", vlookup(A731+0.01, 'SEO Implementation Checklist'!$B:$E, counta('SEO Implementation Checklist'!$B$2:$E$2), true))</f>
        <v/>
      </c>
      <c r="D731" s="135" t="s">
        <v>368</v>
      </c>
      <c r="E731" s="137" t="s">
        <v>369</v>
      </c>
      <c r="F731" s="138"/>
      <c r="G731" s="138"/>
      <c r="H731" s="139"/>
    </row>
    <row r="732" ht="15.75" customHeight="1">
      <c r="A732" s="133"/>
      <c r="B732" s="128"/>
      <c r="C732" s="134" t="str">
        <f>if(A732="", "", vlookup(A732+0.01, 'SEO Implementation Checklist'!$B:$E, counta('SEO Implementation Checklist'!$B$2:$E$2), true))</f>
        <v/>
      </c>
      <c r="D732" s="135" t="s">
        <v>368</v>
      </c>
      <c r="E732" s="137" t="s">
        <v>369</v>
      </c>
      <c r="F732" s="138"/>
      <c r="G732" s="138"/>
      <c r="H732" s="139"/>
    </row>
    <row r="733" ht="15.75" customHeight="1">
      <c r="A733" s="133"/>
      <c r="B733" s="128"/>
      <c r="C733" s="134" t="str">
        <f>if(A733="", "", vlookup(A733+0.01, 'SEO Implementation Checklist'!$B:$E, counta('SEO Implementation Checklist'!$B$2:$E$2), true))</f>
        <v/>
      </c>
      <c r="D733" s="135" t="s">
        <v>368</v>
      </c>
      <c r="E733" s="137" t="s">
        <v>369</v>
      </c>
      <c r="F733" s="138"/>
      <c r="G733" s="138"/>
      <c r="H733" s="139"/>
    </row>
    <row r="734" ht="15.75" customHeight="1">
      <c r="A734" s="133"/>
      <c r="B734" s="128"/>
      <c r="C734" s="134" t="str">
        <f>if(A734="", "", vlookup(A734+0.01, 'SEO Implementation Checklist'!$B:$E, counta('SEO Implementation Checklist'!$B$2:$E$2), true))</f>
        <v/>
      </c>
      <c r="D734" s="135" t="s">
        <v>368</v>
      </c>
      <c r="E734" s="137" t="s">
        <v>369</v>
      </c>
      <c r="F734" s="138"/>
      <c r="G734" s="138"/>
      <c r="H734" s="139"/>
    </row>
    <row r="735" ht="15.75" customHeight="1">
      <c r="A735" s="133"/>
      <c r="B735" s="128"/>
      <c r="C735" s="134" t="str">
        <f>if(A735="", "", vlookup(A735+0.01, 'SEO Implementation Checklist'!$B:$E, counta('SEO Implementation Checklist'!$B$2:$E$2), true))</f>
        <v/>
      </c>
      <c r="D735" s="135" t="s">
        <v>368</v>
      </c>
      <c r="E735" s="137" t="s">
        <v>369</v>
      </c>
      <c r="F735" s="138"/>
      <c r="G735" s="138"/>
      <c r="H735" s="139"/>
    </row>
    <row r="736" ht="15.75" customHeight="1">
      <c r="A736" s="133"/>
      <c r="B736" s="128"/>
      <c r="C736" s="134" t="str">
        <f>if(A736="", "", vlookup(A736+0.01, 'SEO Implementation Checklist'!$B:$E, counta('SEO Implementation Checklist'!$B$2:$E$2), true))</f>
        <v/>
      </c>
      <c r="D736" s="135" t="s">
        <v>368</v>
      </c>
      <c r="E736" s="137" t="s">
        <v>369</v>
      </c>
      <c r="F736" s="138"/>
      <c r="G736" s="138"/>
      <c r="H736" s="139"/>
    </row>
    <row r="737" ht="15.75" customHeight="1">
      <c r="A737" s="133"/>
      <c r="B737" s="128"/>
      <c r="C737" s="134" t="str">
        <f>if(A737="", "", vlookup(A737+0.01, 'SEO Implementation Checklist'!$B:$E, counta('SEO Implementation Checklist'!$B$2:$E$2), true))</f>
        <v/>
      </c>
      <c r="D737" s="135" t="s">
        <v>368</v>
      </c>
      <c r="E737" s="137" t="s">
        <v>369</v>
      </c>
      <c r="F737" s="138"/>
      <c r="G737" s="138"/>
      <c r="H737" s="139"/>
    </row>
    <row r="738" ht="15.75" customHeight="1">
      <c r="A738" s="133"/>
      <c r="B738" s="128"/>
      <c r="C738" s="134" t="str">
        <f>if(A738="", "", vlookup(A738+0.01, 'SEO Implementation Checklist'!$B:$E, counta('SEO Implementation Checklist'!$B$2:$E$2), true))</f>
        <v/>
      </c>
      <c r="D738" s="135" t="s">
        <v>368</v>
      </c>
      <c r="E738" s="137" t="s">
        <v>369</v>
      </c>
      <c r="F738" s="138"/>
      <c r="G738" s="138"/>
      <c r="H738" s="139"/>
    </row>
    <row r="739" ht="15.75" customHeight="1">
      <c r="A739" s="133"/>
      <c r="B739" s="128"/>
      <c r="C739" s="134" t="str">
        <f>if(A739="", "", vlookup(A739+0.01, 'SEO Implementation Checklist'!$B:$E, counta('SEO Implementation Checklist'!$B$2:$E$2), true))</f>
        <v/>
      </c>
      <c r="D739" s="135" t="s">
        <v>368</v>
      </c>
      <c r="E739" s="137" t="s">
        <v>369</v>
      </c>
      <c r="F739" s="138"/>
      <c r="G739" s="138"/>
      <c r="H739" s="139"/>
    </row>
    <row r="740" ht="15.75" customHeight="1">
      <c r="A740" s="133"/>
      <c r="B740" s="128"/>
      <c r="C740" s="134" t="str">
        <f>if(A740="", "", vlookup(A740+0.01, 'SEO Implementation Checklist'!$B:$E, counta('SEO Implementation Checklist'!$B$2:$E$2), true))</f>
        <v/>
      </c>
      <c r="D740" s="135" t="s">
        <v>368</v>
      </c>
      <c r="E740" s="137" t="s">
        <v>369</v>
      </c>
      <c r="F740" s="138"/>
      <c r="G740" s="138"/>
      <c r="H740" s="139"/>
    </row>
    <row r="741" ht="15.75" customHeight="1">
      <c r="A741" s="133"/>
      <c r="B741" s="128"/>
      <c r="C741" s="134" t="str">
        <f>if(A741="", "", vlookup(A741+0.01, 'SEO Implementation Checklist'!$B:$E, counta('SEO Implementation Checklist'!$B$2:$E$2), true))</f>
        <v/>
      </c>
      <c r="D741" s="135" t="s">
        <v>368</v>
      </c>
      <c r="E741" s="137" t="s">
        <v>369</v>
      </c>
      <c r="F741" s="138"/>
      <c r="G741" s="138"/>
      <c r="H741" s="139"/>
    </row>
    <row r="742" ht="15.75" customHeight="1">
      <c r="A742" s="133"/>
      <c r="B742" s="128"/>
      <c r="C742" s="134" t="str">
        <f>if(A742="", "", vlookup(A742+0.01, 'SEO Implementation Checklist'!$B:$E, counta('SEO Implementation Checklist'!$B$2:$E$2), true))</f>
        <v/>
      </c>
      <c r="D742" s="135" t="s">
        <v>368</v>
      </c>
      <c r="E742" s="137" t="s">
        <v>369</v>
      </c>
      <c r="F742" s="138"/>
      <c r="G742" s="138"/>
      <c r="H742" s="139"/>
    </row>
    <row r="743" ht="15.75" customHeight="1">
      <c r="A743" s="133"/>
      <c r="B743" s="128"/>
      <c r="C743" s="134" t="str">
        <f>if(A743="", "", vlookup(A743+0.01, 'SEO Implementation Checklist'!$B:$E, counta('SEO Implementation Checklist'!$B$2:$E$2), true))</f>
        <v/>
      </c>
      <c r="D743" s="135" t="s">
        <v>368</v>
      </c>
      <c r="E743" s="137" t="s">
        <v>369</v>
      </c>
      <c r="F743" s="138"/>
      <c r="G743" s="138"/>
      <c r="H743" s="139"/>
    </row>
    <row r="744" ht="15.75" customHeight="1">
      <c r="A744" s="133"/>
      <c r="B744" s="128"/>
      <c r="C744" s="134" t="str">
        <f>if(A744="", "", vlookup(A744+0.01, 'SEO Implementation Checklist'!$B:$E, counta('SEO Implementation Checklist'!$B$2:$E$2), true))</f>
        <v/>
      </c>
      <c r="D744" s="135" t="s">
        <v>368</v>
      </c>
      <c r="E744" s="137" t="s">
        <v>369</v>
      </c>
      <c r="F744" s="138"/>
      <c r="G744" s="138"/>
      <c r="H744" s="139"/>
    </row>
    <row r="745" ht="15.75" customHeight="1">
      <c r="A745" s="133"/>
      <c r="B745" s="128"/>
      <c r="C745" s="134" t="str">
        <f>if(A745="", "", vlookup(A745+0.01, 'SEO Implementation Checklist'!$B:$E, counta('SEO Implementation Checklist'!$B$2:$E$2), true))</f>
        <v/>
      </c>
      <c r="D745" s="135" t="s">
        <v>368</v>
      </c>
      <c r="E745" s="137" t="s">
        <v>369</v>
      </c>
      <c r="F745" s="138"/>
      <c r="G745" s="138"/>
      <c r="H745" s="139"/>
    </row>
    <row r="746" ht="15.75" customHeight="1">
      <c r="A746" s="133"/>
      <c r="B746" s="128"/>
      <c r="C746" s="134" t="str">
        <f>if(A746="", "", vlookup(A746+0.01, 'SEO Implementation Checklist'!$B:$E, counta('SEO Implementation Checklist'!$B$2:$E$2), true))</f>
        <v/>
      </c>
      <c r="D746" s="135" t="s">
        <v>368</v>
      </c>
      <c r="E746" s="137" t="s">
        <v>369</v>
      </c>
      <c r="F746" s="138"/>
      <c r="G746" s="138"/>
      <c r="H746" s="139"/>
    </row>
    <row r="747" ht="15.75" customHeight="1">
      <c r="A747" s="133"/>
      <c r="B747" s="128"/>
      <c r="C747" s="134" t="str">
        <f>if(A747="", "", vlookup(A747+0.01, 'SEO Implementation Checklist'!$B:$E, counta('SEO Implementation Checklist'!$B$2:$E$2), true))</f>
        <v/>
      </c>
      <c r="D747" s="135" t="s">
        <v>368</v>
      </c>
      <c r="E747" s="137" t="s">
        <v>369</v>
      </c>
      <c r="F747" s="138"/>
      <c r="G747" s="138"/>
      <c r="H747" s="139"/>
    </row>
    <row r="748" ht="15.75" customHeight="1">
      <c r="A748" s="133"/>
      <c r="B748" s="128"/>
      <c r="C748" s="134" t="str">
        <f>if(A748="", "", vlookup(A748+0.01, 'SEO Implementation Checklist'!$B:$E, counta('SEO Implementation Checklist'!$B$2:$E$2), true))</f>
        <v/>
      </c>
      <c r="D748" s="135" t="s">
        <v>368</v>
      </c>
      <c r="E748" s="137" t="s">
        <v>369</v>
      </c>
      <c r="F748" s="138"/>
      <c r="G748" s="138"/>
      <c r="H748" s="139"/>
    </row>
    <row r="749" ht="15.75" customHeight="1">
      <c r="A749" s="133"/>
      <c r="B749" s="128"/>
      <c r="C749" s="134" t="str">
        <f>if(A749="", "", vlookup(A749+0.01, 'SEO Implementation Checklist'!$B:$E, counta('SEO Implementation Checklist'!$B$2:$E$2), true))</f>
        <v/>
      </c>
      <c r="D749" s="135" t="s">
        <v>368</v>
      </c>
      <c r="E749" s="137" t="s">
        <v>369</v>
      </c>
      <c r="F749" s="138"/>
      <c r="G749" s="138"/>
      <c r="H749" s="139"/>
    </row>
    <row r="750" ht="15.75" customHeight="1">
      <c r="A750" s="133"/>
      <c r="B750" s="128"/>
      <c r="C750" s="134" t="str">
        <f>if(A750="", "", vlookup(A750+0.01, 'SEO Implementation Checklist'!$B:$E, counta('SEO Implementation Checklist'!$B$2:$E$2), true))</f>
        <v/>
      </c>
      <c r="D750" s="135" t="s">
        <v>368</v>
      </c>
      <c r="E750" s="137" t="s">
        <v>369</v>
      </c>
      <c r="F750" s="138"/>
      <c r="G750" s="138"/>
      <c r="H750" s="139"/>
    </row>
    <row r="751" ht="15.75" customHeight="1">
      <c r="A751" s="133"/>
      <c r="B751" s="128"/>
      <c r="C751" s="134" t="str">
        <f>if(A751="", "", vlookup(A751+0.01, 'SEO Implementation Checklist'!$B:$E, counta('SEO Implementation Checklist'!$B$2:$E$2), true))</f>
        <v/>
      </c>
      <c r="D751" s="135" t="s">
        <v>368</v>
      </c>
      <c r="E751" s="137" t="s">
        <v>369</v>
      </c>
      <c r="F751" s="138"/>
      <c r="G751" s="138"/>
      <c r="H751" s="139"/>
    </row>
    <row r="752" ht="15.75" customHeight="1">
      <c r="A752" s="133"/>
      <c r="B752" s="128"/>
      <c r="C752" s="134" t="str">
        <f>if(A752="", "", vlookup(A752+0.01, 'SEO Implementation Checklist'!$B:$E, counta('SEO Implementation Checklist'!$B$2:$E$2), true))</f>
        <v/>
      </c>
      <c r="D752" s="135" t="s">
        <v>368</v>
      </c>
      <c r="E752" s="137" t="s">
        <v>369</v>
      </c>
      <c r="F752" s="138"/>
      <c r="G752" s="138"/>
      <c r="H752" s="139"/>
    </row>
    <row r="753" ht="15.75" customHeight="1">
      <c r="A753" s="133"/>
      <c r="B753" s="128"/>
      <c r="C753" s="134" t="str">
        <f>if(A753="", "", vlookup(A753+0.01, 'SEO Implementation Checklist'!$B:$E, counta('SEO Implementation Checklist'!$B$2:$E$2), true))</f>
        <v/>
      </c>
      <c r="D753" s="135" t="s">
        <v>368</v>
      </c>
      <c r="E753" s="137" t="s">
        <v>369</v>
      </c>
      <c r="F753" s="138"/>
      <c r="G753" s="138"/>
      <c r="H753" s="139"/>
    </row>
    <row r="754" ht="15.75" customHeight="1">
      <c r="A754" s="133"/>
      <c r="B754" s="128"/>
      <c r="C754" s="134" t="str">
        <f>if(A754="", "", vlookup(A754+0.01, 'SEO Implementation Checklist'!$B:$E, counta('SEO Implementation Checklist'!$B$2:$E$2), true))</f>
        <v/>
      </c>
      <c r="D754" s="135" t="s">
        <v>368</v>
      </c>
      <c r="E754" s="137" t="s">
        <v>369</v>
      </c>
      <c r="F754" s="138"/>
      <c r="G754" s="138"/>
      <c r="H754" s="139"/>
    </row>
    <row r="755" ht="15.75" customHeight="1">
      <c r="A755" s="133"/>
      <c r="B755" s="128"/>
      <c r="C755" s="134" t="str">
        <f>if(A755="", "", vlookup(A755+0.01, 'SEO Implementation Checklist'!$B:$E, counta('SEO Implementation Checklist'!$B$2:$E$2), true))</f>
        <v/>
      </c>
      <c r="D755" s="135" t="s">
        <v>368</v>
      </c>
      <c r="E755" s="137" t="s">
        <v>369</v>
      </c>
      <c r="F755" s="138"/>
      <c r="G755" s="138"/>
      <c r="H755" s="139"/>
    </row>
    <row r="756" ht="15.75" customHeight="1">
      <c r="A756" s="133"/>
      <c r="B756" s="128"/>
      <c r="C756" s="134" t="str">
        <f>if(A756="", "", vlookup(A756+0.01, 'SEO Implementation Checklist'!$B:$E, counta('SEO Implementation Checklist'!$B$2:$E$2), true))</f>
        <v/>
      </c>
      <c r="D756" s="135" t="s">
        <v>368</v>
      </c>
      <c r="E756" s="137" t="s">
        <v>369</v>
      </c>
      <c r="F756" s="138"/>
      <c r="G756" s="138"/>
      <c r="H756" s="139"/>
    </row>
    <row r="757" ht="15.75" customHeight="1">
      <c r="A757" s="133"/>
      <c r="B757" s="128"/>
      <c r="C757" s="134" t="str">
        <f>if(A757="", "", vlookup(A757+0.01, 'SEO Implementation Checklist'!$B:$E, counta('SEO Implementation Checklist'!$B$2:$E$2), true))</f>
        <v/>
      </c>
      <c r="D757" s="135" t="s">
        <v>368</v>
      </c>
      <c r="E757" s="137" t="s">
        <v>369</v>
      </c>
      <c r="F757" s="138"/>
      <c r="G757" s="138"/>
      <c r="H757" s="139"/>
    </row>
    <row r="758" ht="15.75" customHeight="1">
      <c r="A758" s="133"/>
      <c r="B758" s="128"/>
      <c r="C758" s="134" t="str">
        <f>if(A758="", "", vlookup(A758+0.01, 'SEO Implementation Checklist'!$B:$E, counta('SEO Implementation Checklist'!$B$2:$E$2), true))</f>
        <v/>
      </c>
      <c r="D758" s="135" t="s">
        <v>368</v>
      </c>
      <c r="E758" s="137" t="s">
        <v>369</v>
      </c>
      <c r="F758" s="138"/>
      <c r="G758" s="138"/>
      <c r="H758" s="139"/>
    </row>
    <row r="759" ht="15.75" customHeight="1">
      <c r="A759" s="133"/>
      <c r="B759" s="128"/>
      <c r="C759" s="134" t="str">
        <f>if(A759="", "", vlookup(A759+0.01, 'SEO Implementation Checklist'!$B:$E, counta('SEO Implementation Checklist'!$B$2:$E$2), true))</f>
        <v/>
      </c>
      <c r="D759" s="135" t="s">
        <v>368</v>
      </c>
      <c r="E759" s="137" t="s">
        <v>369</v>
      </c>
      <c r="F759" s="138"/>
      <c r="G759" s="138"/>
      <c r="H759" s="139"/>
    </row>
    <row r="760" ht="15.75" customHeight="1">
      <c r="A760" s="133"/>
      <c r="B760" s="128"/>
      <c r="C760" s="134" t="str">
        <f>if(A760="", "", vlookup(A760+0.01, 'SEO Implementation Checklist'!$B:$E, counta('SEO Implementation Checklist'!$B$2:$E$2), true))</f>
        <v/>
      </c>
      <c r="D760" s="135" t="s">
        <v>368</v>
      </c>
      <c r="E760" s="137" t="s">
        <v>369</v>
      </c>
      <c r="F760" s="138"/>
      <c r="G760" s="138"/>
      <c r="H760" s="139"/>
    </row>
    <row r="761" ht="15.75" customHeight="1">
      <c r="A761" s="133"/>
      <c r="B761" s="128"/>
      <c r="C761" s="134" t="str">
        <f>if(A761="", "", vlookup(A761+0.01, 'SEO Implementation Checklist'!$B:$E, counta('SEO Implementation Checklist'!$B$2:$E$2), true))</f>
        <v/>
      </c>
      <c r="D761" s="135" t="s">
        <v>368</v>
      </c>
      <c r="E761" s="137" t="s">
        <v>369</v>
      </c>
      <c r="F761" s="138"/>
      <c r="G761" s="138"/>
      <c r="H761" s="139"/>
    </row>
    <row r="762" ht="15.75" customHeight="1">
      <c r="A762" s="133"/>
      <c r="B762" s="128"/>
      <c r="C762" s="134" t="str">
        <f>if(A762="", "", vlookup(A762+0.01, 'SEO Implementation Checklist'!$B:$E, counta('SEO Implementation Checklist'!$B$2:$E$2), true))</f>
        <v/>
      </c>
      <c r="D762" s="135" t="s">
        <v>368</v>
      </c>
      <c r="E762" s="137" t="s">
        <v>369</v>
      </c>
      <c r="F762" s="138"/>
      <c r="G762" s="138"/>
      <c r="H762" s="139"/>
    </row>
    <row r="763" ht="15.75" customHeight="1">
      <c r="A763" s="133"/>
      <c r="B763" s="128"/>
      <c r="C763" s="134" t="str">
        <f>if(A763="", "", vlookup(A763+0.01, 'SEO Implementation Checklist'!$B:$E, counta('SEO Implementation Checklist'!$B$2:$E$2), true))</f>
        <v/>
      </c>
      <c r="D763" s="135" t="s">
        <v>368</v>
      </c>
      <c r="E763" s="137" t="s">
        <v>369</v>
      </c>
      <c r="F763" s="138"/>
      <c r="G763" s="138"/>
      <c r="H763" s="139"/>
    </row>
    <row r="764" ht="15.75" customHeight="1">
      <c r="A764" s="133"/>
      <c r="B764" s="128"/>
      <c r="C764" s="134" t="str">
        <f>if(A764="", "", vlookup(A764+0.01, 'SEO Implementation Checklist'!$B:$E, counta('SEO Implementation Checklist'!$B$2:$E$2), true))</f>
        <v/>
      </c>
      <c r="D764" s="135" t="s">
        <v>368</v>
      </c>
      <c r="E764" s="137" t="s">
        <v>369</v>
      </c>
      <c r="F764" s="138"/>
      <c r="G764" s="138"/>
      <c r="H764" s="139"/>
    </row>
    <row r="765" ht="15.75" customHeight="1">
      <c r="A765" s="133"/>
      <c r="B765" s="128"/>
      <c r="C765" s="134" t="str">
        <f>if(A765="", "", vlookup(A765+0.01, 'SEO Implementation Checklist'!$B:$E, counta('SEO Implementation Checklist'!$B$2:$E$2), true))</f>
        <v/>
      </c>
      <c r="D765" s="135" t="s">
        <v>368</v>
      </c>
      <c r="E765" s="137" t="s">
        <v>369</v>
      </c>
      <c r="F765" s="138"/>
      <c r="G765" s="138"/>
      <c r="H765" s="139"/>
    </row>
    <row r="766" ht="15.75" customHeight="1">
      <c r="A766" s="133"/>
      <c r="B766" s="128"/>
      <c r="C766" s="134" t="str">
        <f>if(A766="", "", vlookup(A766+0.01, 'SEO Implementation Checklist'!$B:$E, counta('SEO Implementation Checklist'!$B$2:$E$2), true))</f>
        <v/>
      </c>
      <c r="D766" s="135" t="s">
        <v>368</v>
      </c>
      <c r="E766" s="137" t="s">
        <v>369</v>
      </c>
      <c r="F766" s="138"/>
      <c r="G766" s="138"/>
      <c r="H766" s="139"/>
    </row>
    <row r="767" ht="15.75" customHeight="1">
      <c r="A767" s="133"/>
      <c r="B767" s="128"/>
      <c r="C767" s="134" t="str">
        <f>if(A767="", "", vlookup(A767+0.01, 'SEO Implementation Checklist'!$B:$E, counta('SEO Implementation Checklist'!$B$2:$E$2), true))</f>
        <v/>
      </c>
      <c r="D767" s="135" t="s">
        <v>368</v>
      </c>
      <c r="E767" s="137" t="s">
        <v>369</v>
      </c>
      <c r="F767" s="138"/>
      <c r="G767" s="138"/>
      <c r="H767" s="139"/>
    </row>
    <row r="768" ht="15.75" customHeight="1">
      <c r="A768" s="133"/>
      <c r="B768" s="128"/>
      <c r="C768" s="134" t="str">
        <f>if(A768="", "", vlookup(A768+0.01, 'SEO Implementation Checklist'!$B:$E, counta('SEO Implementation Checklist'!$B$2:$E$2), true))</f>
        <v/>
      </c>
      <c r="D768" s="135" t="s">
        <v>368</v>
      </c>
      <c r="E768" s="137" t="s">
        <v>369</v>
      </c>
      <c r="F768" s="138"/>
      <c r="G768" s="138"/>
      <c r="H768" s="139"/>
    </row>
    <row r="769" ht="15.75" customHeight="1">
      <c r="A769" s="133"/>
      <c r="B769" s="128"/>
      <c r="C769" s="134" t="str">
        <f>if(A769="", "", vlookup(A769+0.01, 'SEO Implementation Checklist'!$B:$E, counta('SEO Implementation Checklist'!$B$2:$E$2), true))</f>
        <v/>
      </c>
      <c r="D769" s="135" t="s">
        <v>368</v>
      </c>
      <c r="E769" s="137" t="s">
        <v>369</v>
      </c>
      <c r="F769" s="138"/>
      <c r="G769" s="138"/>
      <c r="H769" s="139"/>
    </row>
    <row r="770" ht="15.75" customHeight="1">
      <c r="A770" s="133"/>
      <c r="B770" s="128"/>
      <c r="C770" s="134" t="str">
        <f>if(A770="", "", vlookup(A770+0.01, 'SEO Implementation Checklist'!$B:$E, counta('SEO Implementation Checklist'!$B$2:$E$2), true))</f>
        <v/>
      </c>
      <c r="D770" s="135" t="s">
        <v>368</v>
      </c>
      <c r="E770" s="137" t="s">
        <v>369</v>
      </c>
      <c r="F770" s="138"/>
      <c r="G770" s="138"/>
      <c r="H770" s="139"/>
    </row>
    <row r="771" ht="15.75" customHeight="1">
      <c r="A771" s="133"/>
      <c r="B771" s="128"/>
      <c r="C771" s="134" t="str">
        <f>if(A771="", "", vlookup(A771+0.01, 'SEO Implementation Checklist'!$B:$E, counta('SEO Implementation Checklist'!$B$2:$E$2), true))</f>
        <v/>
      </c>
      <c r="D771" s="135" t="s">
        <v>368</v>
      </c>
      <c r="E771" s="137" t="s">
        <v>369</v>
      </c>
      <c r="F771" s="138"/>
      <c r="G771" s="138"/>
      <c r="H771" s="139"/>
    </row>
    <row r="772" ht="15.75" customHeight="1">
      <c r="A772" s="133"/>
      <c r="B772" s="128"/>
      <c r="C772" s="134" t="str">
        <f>if(A772="", "", vlookup(A772+0.01, 'SEO Implementation Checklist'!$B:$E, counta('SEO Implementation Checklist'!$B$2:$E$2), true))</f>
        <v/>
      </c>
      <c r="D772" s="135" t="s">
        <v>368</v>
      </c>
      <c r="E772" s="137" t="s">
        <v>369</v>
      </c>
      <c r="F772" s="138"/>
      <c r="G772" s="138"/>
      <c r="H772" s="139"/>
    </row>
    <row r="773" ht="15.75" customHeight="1">
      <c r="A773" s="133"/>
      <c r="B773" s="128"/>
      <c r="C773" s="134" t="str">
        <f>if(A773="", "", vlookup(A773+0.01, 'SEO Implementation Checklist'!$B:$E, counta('SEO Implementation Checklist'!$B$2:$E$2), true))</f>
        <v/>
      </c>
      <c r="D773" s="135" t="s">
        <v>368</v>
      </c>
      <c r="E773" s="137" t="s">
        <v>369</v>
      </c>
      <c r="F773" s="138"/>
      <c r="G773" s="138"/>
      <c r="H773" s="139"/>
    </row>
    <row r="774" ht="15.75" customHeight="1">
      <c r="A774" s="133"/>
      <c r="B774" s="128"/>
      <c r="C774" s="134" t="str">
        <f>if(A774="", "", vlookup(A774+0.01, 'SEO Implementation Checklist'!$B:$E, counta('SEO Implementation Checklist'!$B$2:$E$2), true))</f>
        <v/>
      </c>
      <c r="D774" s="135" t="s">
        <v>368</v>
      </c>
      <c r="E774" s="137" t="s">
        <v>369</v>
      </c>
      <c r="F774" s="138"/>
      <c r="G774" s="138"/>
      <c r="H774" s="139"/>
    </row>
    <row r="775" ht="15.75" customHeight="1">
      <c r="A775" s="133"/>
      <c r="B775" s="128"/>
      <c r="C775" s="134" t="str">
        <f>if(A775="", "", vlookup(A775+0.01, 'SEO Implementation Checklist'!$B:$E, counta('SEO Implementation Checklist'!$B$2:$E$2), true))</f>
        <v/>
      </c>
      <c r="D775" s="135" t="s">
        <v>368</v>
      </c>
      <c r="E775" s="137" t="s">
        <v>369</v>
      </c>
      <c r="F775" s="138"/>
      <c r="G775" s="138"/>
      <c r="H775" s="139"/>
    </row>
    <row r="776" ht="15.75" customHeight="1">
      <c r="A776" s="133"/>
      <c r="B776" s="128"/>
      <c r="C776" s="134" t="str">
        <f>if(A776="", "", vlookup(A776+0.01, 'SEO Implementation Checklist'!$B:$E, counta('SEO Implementation Checklist'!$B$2:$E$2), true))</f>
        <v/>
      </c>
      <c r="D776" s="135" t="s">
        <v>368</v>
      </c>
      <c r="E776" s="137" t="s">
        <v>369</v>
      </c>
      <c r="F776" s="138"/>
      <c r="G776" s="138"/>
      <c r="H776" s="139"/>
    </row>
    <row r="777" ht="15.75" customHeight="1">
      <c r="A777" s="133"/>
      <c r="B777" s="128"/>
      <c r="C777" s="134" t="str">
        <f>if(A777="", "", vlookup(A777+0.01, 'SEO Implementation Checklist'!$B:$E, counta('SEO Implementation Checklist'!$B$2:$E$2), true))</f>
        <v/>
      </c>
      <c r="D777" s="135" t="s">
        <v>368</v>
      </c>
      <c r="E777" s="137" t="s">
        <v>369</v>
      </c>
      <c r="F777" s="138"/>
      <c r="G777" s="138"/>
      <c r="H777" s="139"/>
    </row>
    <row r="778" ht="15.75" customHeight="1">
      <c r="A778" s="133"/>
      <c r="B778" s="128"/>
      <c r="C778" s="134" t="str">
        <f>if(A778="", "", vlookup(A778+0.01, 'SEO Implementation Checklist'!$B:$E, counta('SEO Implementation Checklist'!$B$2:$E$2), true))</f>
        <v/>
      </c>
      <c r="D778" s="135" t="s">
        <v>368</v>
      </c>
      <c r="E778" s="137" t="s">
        <v>369</v>
      </c>
      <c r="F778" s="138"/>
      <c r="G778" s="138"/>
      <c r="H778" s="139"/>
    </row>
    <row r="779" ht="15.75" customHeight="1">
      <c r="A779" s="133"/>
      <c r="B779" s="128"/>
      <c r="C779" s="134" t="str">
        <f>if(A779="", "", vlookup(A779+0.01, 'SEO Implementation Checklist'!$B:$E, counta('SEO Implementation Checklist'!$B$2:$E$2), true))</f>
        <v/>
      </c>
      <c r="D779" s="135" t="s">
        <v>368</v>
      </c>
      <c r="E779" s="137" t="s">
        <v>369</v>
      </c>
      <c r="F779" s="138"/>
      <c r="G779" s="138"/>
      <c r="H779" s="139"/>
    </row>
    <row r="780" ht="15.75" customHeight="1">
      <c r="A780" s="133"/>
      <c r="B780" s="128"/>
      <c r="C780" s="134" t="str">
        <f>if(A780="", "", vlookup(A780+0.01, 'SEO Implementation Checklist'!$B:$E, counta('SEO Implementation Checklist'!$B$2:$E$2), true))</f>
        <v/>
      </c>
      <c r="D780" s="135" t="s">
        <v>368</v>
      </c>
      <c r="E780" s="137" t="s">
        <v>369</v>
      </c>
      <c r="F780" s="138"/>
      <c r="G780" s="138"/>
      <c r="H780" s="139"/>
    </row>
    <row r="781" ht="15.75" customHeight="1">
      <c r="A781" s="133"/>
      <c r="B781" s="128"/>
      <c r="C781" s="134" t="str">
        <f>if(A781="", "", vlookup(A781+0.01, 'SEO Implementation Checklist'!$B:$E, counta('SEO Implementation Checklist'!$B$2:$E$2), true))</f>
        <v/>
      </c>
      <c r="D781" s="135" t="s">
        <v>368</v>
      </c>
      <c r="E781" s="137" t="s">
        <v>369</v>
      </c>
      <c r="F781" s="138"/>
      <c r="G781" s="138"/>
      <c r="H781" s="139"/>
    </row>
    <row r="782" ht="15.75" customHeight="1">
      <c r="A782" s="133"/>
      <c r="B782" s="128"/>
      <c r="C782" s="134" t="str">
        <f>if(A782="", "", vlookup(A782+0.01, 'SEO Implementation Checklist'!$B:$E, counta('SEO Implementation Checklist'!$B$2:$E$2), true))</f>
        <v/>
      </c>
      <c r="D782" s="135" t="s">
        <v>368</v>
      </c>
      <c r="E782" s="137" t="s">
        <v>369</v>
      </c>
      <c r="F782" s="138"/>
      <c r="G782" s="138"/>
      <c r="H782" s="139"/>
    </row>
    <row r="783" ht="15.75" customHeight="1">
      <c r="A783" s="133"/>
      <c r="B783" s="128"/>
      <c r="C783" s="134" t="str">
        <f>if(A783="", "", vlookup(A783+0.01, 'SEO Implementation Checklist'!$B:$E, counta('SEO Implementation Checklist'!$B$2:$E$2), true))</f>
        <v/>
      </c>
      <c r="D783" s="135" t="s">
        <v>368</v>
      </c>
      <c r="E783" s="137" t="s">
        <v>369</v>
      </c>
      <c r="F783" s="138"/>
      <c r="G783" s="138"/>
      <c r="H783" s="139"/>
    </row>
    <row r="784" ht="15.75" customHeight="1">
      <c r="A784" s="133"/>
      <c r="B784" s="128"/>
      <c r="C784" s="134" t="str">
        <f>if(A784="", "", vlookup(A784+0.01, 'SEO Implementation Checklist'!$B:$E, counta('SEO Implementation Checklist'!$B$2:$E$2), true))</f>
        <v/>
      </c>
      <c r="D784" s="135" t="s">
        <v>368</v>
      </c>
      <c r="E784" s="137" t="s">
        <v>369</v>
      </c>
      <c r="F784" s="138"/>
      <c r="G784" s="138"/>
      <c r="H784" s="139"/>
    </row>
    <row r="785" ht="15.75" customHeight="1">
      <c r="A785" s="133"/>
      <c r="B785" s="128"/>
      <c r="C785" s="134" t="str">
        <f>if(A785="", "", vlookup(A785+0.01, 'SEO Implementation Checklist'!$B:$E, counta('SEO Implementation Checklist'!$B$2:$E$2), true))</f>
        <v/>
      </c>
      <c r="D785" s="135" t="s">
        <v>368</v>
      </c>
      <c r="E785" s="137" t="s">
        <v>369</v>
      </c>
      <c r="F785" s="138"/>
      <c r="G785" s="138"/>
      <c r="H785" s="139"/>
    </row>
    <row r="786" ht="15.75" customHeight="1">
      <c r="A786" s="133"/>
      <c r="B786" s="128"/>
      <c r="C786" s="134" t="str">
        <f>if(A786="", "", vlookup(A786+0.01, 'SEO Implementation Checklist'!$B:$E, counta('SEO Implementation Checklist'!$B$2:$E$2), true))</f>
        <v/>
      </c>
      <c r="D786" s="135" t="s">
        <v>368</v>
      </c>
      <c r="E786" s="137" t="s">
        <v>369</v>
      </c>
      <c r="F786" s="138"/>
      <c r="G786" s="138"/>
      <c r="H786" s="139"/>
    </row>
    <row r="787" ht="15.75" customHeight="1">
      <c r="A787" s="133"/>
      <c r="B787" s="128"/>
      <c r="C787" s="134" t="str">
        <f>if(A787="", "", vlookup(A787+0.01, 'SEO Implementation Checklist'!$B:$E, counta('SEO Implementation Checklist'!$B$2:$E$2), true))</f>
        <v/>
      </c>
      <c r="D787" s="135" t="s">
        <v>368</v>
      </c>
      <c r="E787" s="137" t="s">
        <v>369</v>
      </c>
      <c r="F787" s="138"/>
      <c r="G787" s="138"/>
      <c r="H787" s="139"/>
    </row>
    <row r="788" ht="15.75" customHeight="1">
      <c r="A788" s="133"/>
      <c r="B788" s="128"/>
      <c r="C788" s="134" t="str">
        <f>if(A788="", "", vlookup(A788+0.01, 'SEO Implementation Checklist'!$B:$E, counta('SEO Implementation Checklist'!$B$2:$E$2), true))</f>
        <v/>
      </c>
      <c r="D788" s="135" t="s">
        <v>368</v>
      </c>
      <c r="E788" s="137" t="s">
        <v>369</v>
      </c>
      <c r="F788" s="138"/>
      <c r="G788" s="138"/>
      <c r="H788" s="139"/>
    </row>
    <row r="789" ht="15.75" customHeight="1">
      <c r="A789" s="133"/>
      <c r="B789" s="128"/>
      <c r="C789" s="134" t="str">
        <f>if(A789="", "", vlookup(A789+0.01, 'SEO Implementation Checklist'!$B:$E, counta('SEO Implementation Checklist'!$B$2:$E$2), true))</f>
        <v/>
      </c>
      <c r="D789" s="135" t="s">
        <v>368</v>
      </c>
      <c r="E789" s="137" t="s">
        <v>369</v>
      </c>
      <c r="F789" s="138"/>
      <c r="G789" s="138"/>
      <c r="H789" s="139"/>
    </row>
    <row r="790" ht="15.75" customHeight="1">
      <c r="A790" s="133"/>
      <c r="B790" s="128"/>
      <c r="C790" s="134" t="str">
        <f>if(A790="", "", vlookup(A790+0.01, 'SEO Implementation Checklist'!$B:$E, counta('SEO Implementation Checklist'!$B$2:$E$2), true))</f>
        <v/>
      </c>
      <c r="D790" s="135" t="s">
        <v>368</v>
      </c>
      <c r="E790" s="137" t="s">
        <v>369</v>
      </c>
      <c r="F790" s="138"/>
      <c r="G790" s="138"/>
      <c r="H790" s="139"/>
    </row>
    <row r="791" ht="15.75" customHeight="1">
      <c r="A791" s="133"/>
      <c r="B791" s="128"/>
      <c r="C791" s="134" t="str">
        <f>if(A791="", "", vlookup(A791+0.01, 'SEO Implementation Checklist'!$B:$E, counta('SEO Implementation Checklist'!$B$2:$E$2), true))</f>
        <v/>
      </c>
      <c r="D791" s="135" t="s">
        <v>368</v>
      </c>
      <c r="E791" s="137" t="s">
        <v>369</v>
      </c>
      <c r="F791" s="138"/>
      <c r="G791" s="138"/>
      <c r="H791" s="139"/>
    </row>
    <row r="792" ht="15.75" customHeight="1">
      <c r="A792" s="133"/>
      <c r="B792" s="128"/>
      <c r="C792" s="134" t="str">
        <f>if(A792="", "", vlookup(A792+0.01, 'SEO Implementation Checklist'!$B:$E, counta('SEO Implementation Checklist'!$B$2:$E$2), true))</f>
        <v/>
      </c>
      <c r="D792" s="135" t="s">
        <v>368</v>
      </c>
      <c r="E792" s="137" t="s">
        <v>369</v>
      </c>
      <c r="F792" s="138"/>
      <c r="G792" s="138"/>
      <c r="H792" s="139"/>
    </row>
    <row r="793" ht="15.75" customHeight="1">
      <c r="A793" s="133"/>
      <c r="B793" s="128"/>
      <c r="C793" s="134" t="str">
        <f>if(A793="", "", vlookup(A793+0.01, 'SEO Implementation Checklist'!$B:$E, counta('SEO Implementation Checklist'!$B$2:$E$2), true))</f>
        <v/>
      </c>
      <c r="D793" s="135" t="s">
        <v>368</v>
      </c>
      <c r="E793" s="137" t="s">
        <v>369</v>
      </c>
      <c r="F793" s="138"/>
      <c r="G793" s="138"/>
      <c r="H793" s="139"/>
    </row>
    <row r="794" ht="15.75" customHeight="1">
      <c r="A794" s="133"/>
      <c r="B794" s="128"/>
      <c r="C794" s="134" t="str">
        <f>if(A794="", "", vlookup(A794+0.01, 'SEO Implementation Checklist'!$B:$E, counta('SEO Implementation Checklist'!$B$2:$E$2), true))</f>
        <v/>
      </c>
      <c r="D794" s="135" t="s">
        <v>368</v>
      </c>
      <c r="E794" s="137" t="s">
        <v>369</v>
      </c>
      <c r="F794" s="138"/>
      <c r="G794" s="138"/>
      <c r="H794" s="139"/>
    </row>
    <row r="795" ht="15.75" customHeight="1">
      <c r="A795" s="133"/>
      <c r="B795" s="128"/>
      <c r="C795" s="134" t="str">
        <f>if(A795="", "", vlookup(A795+0.01, 'SEO Implementation Checklist'!$B:$E, counta('SEO Implementation Checklist'!$B$2:$E$2), true))</f>
        <v/>
      </c>
      <c r="D795" s="135" t="s">
        <v>368</v>
      </c>
      <c r="E795" s="137" t="s">
        <v>369</v>
      </c>
      <c r="F795" s="138"/>
      <c r="G795" s="138"/>
      <c r="H795" s="139"/>
    </row>
    <row r="796" ht="15.75" customHeight="1">
      <c r="A796" s="133"/>
      <c r="B796" s="128"/>
      <c r="C796" s="134" t="str">
        <f>if(A796="", "", vlookup(A796+0.01, 'SEO Implementation Checklist'!$B:$E, counta('SEO Implementation Checklist'!$B$2:$E$2), true))</f>
        <v/>
      </c>
      <c r="D796" s="135" t="s">
        <v>368</v>
      </c>
      <c r="E796" s="137" t="s">
        <v>369</v>
      </c>
      <c r="F796" s="138"/>
      <c r="G796" s="138"/>
      <c r="H796" s="139"/>
    </row>
    <row r="797" ht="15.75" customHeight="1">
      <c r="A797" s="133"/>
      <c r="B797" s="128"/>
      <c r="C797" s="134" t="str">
        <f>if(A797="", "", vlookup(A797+0.01, 'SEO Implementation Checklist'!$B:$E, counta('SEO Implementation Checklist'!$B$2:$E$2), true))</f>
        <v/>
      </c>
      <c r="D797" s="135" t="s">
        <v>368</v>
      </c>
      <c r="E797" s="137" t="s">
        <v>369</v>
      </c>
      <c r="F797" s="138"/>
      <c r="G797" s="138"/>
      <c r="H797" s="139"/>
    </row>
    <row r="798" ht="15.75" customHeight="1">
      <c r="A798" s="133"/>
      <c r="B798" s="128"/>
      <c r="C798" s="134" t="str">
        <f>if(A798="", "", vlookup(A798+0.01, 'SEO Implementation Checklist'!$B:$E, counta('SEO Implementation Checklist'!$B$2:$E$2), true))</f>
        <v/>
      </c>
      <c r="D798" s="135" t="s">
        <v>368</v>
      </c>
      <c r="E798" s="137" t="s">
        <v>369</v>
      </c>
      <c r="F798" s="138"/>
      <c r="G798" s="138"/>
      <c r="H798" s="139"/>
    </row>
    <row r="799" ht="15.75" customHeight="1">
      <c r="A799" s="133"/>
      <c r="B799" s="128"/>
      <c r="C799" s="134" t="str">
        <f>if(A799="", "", vlookup(A799+0.01, 'SEO Implementation Checklist'!$B:$E, counta('SEO Implementation Checklist'!$B$2:$E$2), true))</f>
        <v/>
      </c>
      <c r="D799" s="135" t="s">
        <v>368</v>
      </c>
      <c r="E799" s="137" t="s">
        <v>369</v>
      </c>
      <c r="F799" s="138"/>
      <c r="G799" s="138"/>
      <c r="H799" s="139"/>
    </row>
    <row r="800" ht="15.75" customHeight="1">
      <c r="A800" s="133"/>
      <c r="B800" s="128"/>
      <c r="C800" s="134" t="str">
        <f>if(A800="", "", vlookup(A800+0.01, 'SEO Implementation Checklist'!$B:$E, counta('SEO Implementation Checklist'!$B$2:$E$2), true))</f>
        <v/>
      </c>
      <c r="D800" s="135" t="s">
        <v>368</v>
      </c>
      <c r="E800" s="137" t="s">
        <v>369</v>
      </c>
      <c r="F800" s="138"/>
      <c r="G800" s="138"/>
      <c r="H800" s="139"/>
    </row>
    <row r="801" ht="15.75" customHeight="1">
      <c r="A801" s="133"/>
      <c r="B801" s="128"/>
      <c r="C801" s="134" t="str">
        <f>if(A801="", "", vlookup(A801+0.01, 'SEO Implementation Checklist'!$B:$E, counta('SEO Implementation Checklist'!$B$2:$E$2), true))</f>
        <v/>
      </c>
      <c r="D801" s="135" t="s">
        <v>368</v>
      </c>
      <c r="E801" s="137" t="s">
        <v>369</v>
      </c>
      <c r="F801" s="138"/>
      <c r="G801" s="138"/>
      <c r="H801" s="139"/>
    </row>
    <row r="802" ht="15.75" customHeight="1">
      <c r="A802" s="133"/>
      <c r="B802" s="128"/>
      <c r="C802" s="134" t="str">
        <f>if(A802="", "", vlookup(A802+0.01, 'SEO Implementation Checklist'!$B:$E, counta('SEO Implementation Checklist'!$B$2:$E$2), true))</f>
        <v/>
      </c>
      <c r="D802" s="135" t="s">
        <v>368</v>
      </c>
      <c r="E802" s="137" t="s">
        <v>369</v>
      </c>
      <c r="F802" s="138"/>
      <c r="G802" s="138"/>
      <c r="H802" s="139"/>
    </row>
    <row r="803" ht="15.75" customHeight="1">
      <c r="A803" s="133"/>
      <c r="B803" s="128"/>
      <c r="C803" s="134" t="str">
        <f>if(A803="", "", vlookup(A803+0.01, 'SEO Implementation Checklist'!$B:$E, counta('SEO Implementation Checklist'!$B$2:$E$2), true))</f>
        <v/>
      </c>
      <c r="D803" s="135" t="s">
        <v>368</v>
      </c>
      <c r="E803" s="137" t="s">
        <v>369</v>
      </c>
      <c r="F803" s="138"/>
      <c r="G803" s="138"/>
      <c r="H803" s="139"/>
    </row>
    <row r="804" ht="15.75" customHeight="1">
      <c r="A804" s="133"/>
      <c r="B804" s="128"/>
      <c r="C804" s="134" t="str">
        <f>if(A804="", "", vlookup(A804+0.01, 'SEO Implementation Checklist'!$B:$E, counta('SEO Implementation Checklist'!$B$2:$E$2), true))</f>
        <v/>
      </c>
      <c r="D804" s="135" t="s">
        <v>368</v>
      </c>
      <c r="E804" s="137" t="s">
        <v>369</v>
      </c>
      <c r="F804" s="138"/>
      <c r="G804" s="138"/>
      <c r="H804" s="139"/>
    </row>
    <row r="805" ht="15.75" customHeight="1">
      <c r="A805" s="133"/>
      <c r="B805" s="128"/>
      <c r="C805" s="134" t="str">
        <f>if(A805="", "", vlookup(A805+0.01, 'SEO Implementation Checklist'!$B:$E, counta('SEO Implementation Checklist'!$B$2:$E$2), true))</f>
        <v/>
      </c>
      <c r="D805" s="135" t="s">
        <v>368</v>
      </c>
      <c r="E805" s="137" t="s">
        <v>369</v>
      </c>
      <c r="F805" s="138"/>
      <c r="G805" s="138"/>
      <c r="H805" s="139"/>
    </row>
    <row r="806" ht="15.75" customHeight="1">
      <c r="A806" s="133"/>
      <c r="B806" s="128"/>
      <c r="C806" s="134" t="str">
        <f>if(A806="", "", vlookup(A806+0.01, 'SEO Implementation Checklist'!$B:$E, counta('SEO Implementation Checklist'!$B$2:$E$2), true))</f>
        <v/>
      </c>
      <c r="D806" s="135" t="s">
        <v>368</v>
      </c>
      <c r="E806" s="137" t="s">
        <v>369</v>
      </c>
      <c r="F806" s="138"/>
      <c r="G806" s="138"/>
      <c r="H806" s="139"/>
    </row>
    <row r="807" ht="15.75" customHeight="1">
      <c r="A807" s="133"/>
      <c r="B807" s="128"/>
      <c r="C807" s="134" t="str">
        <f>if(A807="", "", vlookup(A807+0.01, 'SEO Implementation Checklist'!$B:$E, counta('SEO Implementation Checklist'!$B$2:$E$2), true))</f>
        <v/>
      </c>
      <c r="D807" s="135" t="s">
        <v>368</v>
      </c>
      <c r="E807" s="137" t="s">
        <v>369</v>
      </c>
      <c r="F807" s="138"/>
      <c r="G807" s="138"/>
      <c r="H807" s="139"/>
    </row>
    <row r="808" ht="15.75" customHeight="1">
      <c r="A808" s="133"/>
      <c r="B808" s="128"/>
      <c r="C808" s="134" t="str">
        <f>if(A808="", "", vlookup(A808+0.01, 'SEO Implementation Checklist'!$B:$E, counta('SEO Implementation Checklist'!$B$2:$E$2), true))</f>
        <v/>
      </c>
      <c r="D808" s="135" t="s">
        <v>368</v>
      </c>
      <c r="E808" s="137" t="s">
        <v>369</v>
      </c>
      <c r="F808" s="138"/>
      <c r="G808" s="138"/>
      <c r="H808" s="139"/>
    </row>
    <row r="809" ht="15.75" customHeight="1">
      <c r="A809" s="133"/>
      <c r="B809" s="128"/>
      <c r="C809" s="134" t="str">
        <f>if(A809="", "", vlookup(A809+0.01, 'SEO Implementation Checklist'!$B:$E, counta('SEO Implementation Checklist'!$B$2:$E$2), true))</f>
        <v/>
      </c>
      <c r="D809" s="135" t="s">
        <v>368</v>
      </c>
      <c r="E809" s="137" t="s">
        <v>369</v>
      </c>
      <c r="F809" s="138"/>
      <c r="G809" s="138"/>
      <c r="H809" s="139"/>
    </row>
    <row r="810" ht="15.75" customHeight="1">
      <c r="A810" s="133"/>
      <c r="B810" s="128"/>
      <c r="C810" s="134" t="str">
        <f>if(A810="", "", vlookup(A810+0.01, 'SEO Implementation Checklist'!$B:$E, counta('SEO Implementation Checklist'!$B$2:$E$2), true))</f>
        <v/>
      </c>
      <c r="D810" s="135" t="s">
        <v>368</v>
      </c>
      <c r="E810" s="137" t="s">
        <v>369</v>
      </c>
      <c r="F810" s="138"/>
      <c r="G810" s="138"/>
      <c r="H810" s="139"/>
    </row>
    <row r="811" ht="15.75" customHeight="1">
      <c r="A811" s="133"/>
      <c r="B811" s="128"/>
      <c r="C811" s="134" t="str">
        <f>if(A811="", "", vlookup(A811+0.01, 'SEO Implementation Checklist'!$B:$E, counta('SEO Implementation Checklist'!$B$2:$E$2), true))</f>
        <v/>
      </c>
      <c r="D811" s="135" t="s">
        <v>368</v>
      </c>
      <c r="E811" s="137" t="s">
        <v>369</v>
      </c>
      <c r="F811" s="138"/>
      <c r="G811" s="138"/>
      <c r="H811" s="139"/>
    </row>
    <row r="812" ht="15.75" customHeight="1">
      <c r="A812" s="133"/>
      <c r="B812" s="128"/>
      <c r="C812" s="134" t="str">
        <f>if(A812="", "", vlookup(A812+0.01, 'SEO Implementation Checklist'!$B:$E, counta('SEO Implementation Checklist'!$B$2:$E$2), true))</f>
        <v/>
      </c>
      <c r="D812" s="135" t="s">
        <v>368</v>
      </c>
      <c r="E812" s="137" t="s">
        <v>369</v>
      </c>
      <c r="F812" s="138"/>
      <c r="G812" s="138"/>
      <c r="H812" s="139"/>
    </row>
    <row r="813" ht="15.75" customHeight="1">
      <c r="A813" s="133"/>
      <c r="B813" s="128"/>
      <c r="C813" s="134" t="str">
        <f>if(A813="", "", vlookup(A813+0.01, 'SEO Implementation Checklist'!$B:$E, counta('SEO Implementation Checklist'!$B$2:$E$2), true))</f>
        <v/>
      </c>
      <c r="D813" s="135" t="s">
        <v>368</v>
      </c>
      <c r="E813" s="137" t="s">
        <v>369</v>
      </c>
      <c r="F813" s="138"/>
      <c r="G813" s="138"/>
      <c r="H813" s="139"/>
    </row>
    <row r="814" ht="15.75" customHeight="1">
      <c r="A814" s="133"/>
      <c r="B814" s="128"/>
      <c r="C814" s="134" t="str">
        <f>if(A814="", "", vlookup(A814+0.01, 'SEO Implementation Checklist'!$B:$E, counta('SEO Implementation Checklist'!$B$2:$E$2), true))</f>
        <v/>
      </c>
      <c r="D814" s="135" t="s">
        <v>368</v>
      </c>
      <c r="E814" s="137" t="s">
        <v>369</v>
      </c>
      <c r="F814" s="138"/>
      <c r="G814" s="138"/>
      <c r="H814" s="139"/>
    </row>
    <row r="815" ht="15.75" customHeight="1">
      <c r="A815" s="133"/>
      <c r="B815" s="128"/>
      <c r="C815" s="134" t="str">
        <f>if(A815="", "", vlookup(A815+0.01, 'SEO Implementation Checklist'!$B:$E, counta('SEO Implementation Checklist'!$B$2:$E$2), true))</f>
        <v/>
      </c>
      <c r="D815" s="135" t="s">
        <v>368</v>
      </c>
      <c r="E815" s="137" t="s">
        <v>369</v>
      </c>
      <c r="F815" s="138"/>
      <c r="G815" s="138"/>
      <c r="H815" s="139"/>
    </row>
    <row r="816" ht="15.75" customHeight="1">
      <c r="A816" s="133"/>
      <c r="B816" s="128"/>
      <c r="C816" s="134" t="str">
        <f>if(A816="", "", vlookup(A816+0.01, 'SEO Implementation Checklist'!$B:$E, counta('SEO Implementation Checklist'!$B$2:$E$2), true))</f>
        <v/>
      </c>
      <c r="D816" s="135" t="s">
        <v>368</v>
      </c>
      <c r="E816" s="137" t="s">
        <v>369</v>
      </c>
      <c r="F816" s="138"/>
      <c r="G816" s="138"/>
      <c r="H816" s="139"/>
    </row>
    <row r="817" ht="15.75" customHeight="1">
      <c r="A817" s="133"/>
      <c r="B817" s="128"/>
      <c r="C817" s="134" t="str">
        <f>if(A817="", "", vlookup(A817+0.01, 'SEO Implementation Checklist'!$B:$E, counta('SEO Implementation Checklist'!$B$2:$E$2), true))</f>
        <v/>
      </c>
      <c r="D817" s="135" t="s">
        <v>368</v>
      </c>
      <c r="E817" s="137" t="s">
        <v>369</v>
      </c>
      <c r="F817" s="138"/>
      <c r="G817" s="138"/>
      <c r="H817" s="139"/>
    </row>
    <row r="818" ht="15.75" customHeight="1">
      <c r="A818" s="133"/>
      <c r="B818" s="128"/>
      <c r="C818" s="134" t="str">
        <f>if(A818="", "", vlookup(A818+0.01, 'SEO Implementation Checklist'!$B:$E, counta('SEO Implementation Checklist'!$B$2:$E$2), true))</f>
        <v/>
      </c>
      <c r="D818" s="135" t="s">
        <v>368</v>
      </c>
      <c r="E818" s="137" t="s">
        <v>369</v>
      </c>
      <c r="F818" s="138"/>
      <c r="G818" s="138"/>
      <c r="H818" s="139"/>
    </row>
    <row r="819" ht="15.75" customHeight="1">
      <c r="A819" s="133"/>
      <c r="B819" s="128"/>
      <c r="C819" s="134" t="str">
        <f>if(A819="", "", vlookup(A819+0.01, 'SEO Implementation Checklist'!$B:$E, counta('SEO Implementation Checklist'!$B$2:$E$2), true))</f>
        <v/>
      </c>
      <c r="D819" s="135" t="s">
        <v>368</v>
      </c>
      <c r="E819" s="137" t="s">
        <v>369</v>
      </c>
      <c r="F819" s="138"/>
      <c r="G819" s="138"/>
      <c r="H819" s="139"/>
    </row>
    <row r="820" ht="15.75" customHeight="1">
      <c r="A820" s="133"/>
      <c r="B820" s="128"/>
      <c r="C820" s="134" t="str">
        <f>if(A820="", "", vlookup(A820+0.01, 'SEO Implementation Checklist'!$B:$E, counta('SEO Implementation Checklist'!$B$2:$E$2), true))</f>
        <v/>
      </c>
      <c r="D820" s="135" t="s">
        <v>368</v>
      </c>
      <c r="E820" s="137" t="s">
        <v>369</v>
      </c>
      <c r="F820" s="138"/>
      <c r="G820" s="138"/>
      <c r="H820" s="139"/>
    </row>
    <row r="821" ht="15.75" customHeight="1">
      <c r="A821" s="133"/>
      <c r="B821" s="128"/>
      <c r="C821" s="134" t="str">
        <f>if(A821="", "", vlookup(A821+0.01, 'SEO Implementation Checklist'!$B:$E, counta('SEO Implementation Checklist'!$B$2:$E$2), true))</f>
        <v/>
      </c>
      <c r="D821" s="135" t="s">
        <v>368</v>
      </c>
      <c r="E821" s="137" t="s">
        <v>369</v>
      </c>
      <c r="F821" s="138"/>
      <c r="G821" s="138"/>
      <c r="H821" s="139"/>
    </row>
    <row r="822" ht="15.75" customHeight="1">
      <c r="A822" s="133"/>
      <c r="B822" s="128"/>
      <c r="C822" s="134" t="str">
        <f>if(A822="", "", vlookup(A822+0.01, 'SEO Implementation Checklist'!$B:$E, counta('SEO Implementation Checklist'!$B$2:$E$2), true))</f>
        <v/>
      </c>
      <c r="D822" s="135" t="s">
        <v>368</v>
      </c>
      <c r="E822" s="137" t="s">
        <v>369</v>
      </c>
      <c r="F822" s="138"/>
      <c r="G822" s="138"/>
      <c r="H822" s="139"/>
    </row>
    <row r="823" ht="15.75" customHeight="1">
      <c r="A823" s="133"/>
      <c r="B823" s="128"/>
      <c r="C823" s="134" t="str">
        <f>if(A823="", "", vlookup(A823+0.01, 'SEO Implementation Checklist'!$B:$E, counta('SEO Implementation Checklist'!$B$2:$E$2), true))</f>
        <v/>
      </c>
      <c r="D823" s="135" t="s">
        <v>368</v>
      </c>
      <c r="E823" s="137" t="s">
        <v>369</v>
      </c>
      <c r="F823" s="138"/>
      <c r="G823" s="138"/>
      <c r="H823" s="139"/>
    </row>
    <row r="824" ht="15.75" customHeight="1">
      <c r="A824" s="133"/>
      <c r="B824" s="128"/>
      <c r="C824" s="134" t="str">
        <f>if(A824="", "", vlookup(A824+0.01, 'SEO Implementation Checklist'!$B:$E, counta('SEO Implementation Checklist'!$B$2:$E$2), true))</f>
        <v/>
      </c>
      <c r="D824" s="135" t="s">
        <v>368</v>
      </c>
      <c r="E824" s="137" t="s">
        <v>369</v>
      </c>
      <c r="F824" s="138"/>
      <c r="G824" s="138"/>
      <c r="H824" s="139"/>
    </row>
    <row r="825" ht="15.75" customHeight="1">
      <c r="A825" s="133"/>
      <c r="B825" s="128"/>
      <c r="C825" s="134" t="str">
        <f>if(A825="", "", vlookup(A825+0.01, 'SEO Implementation Checklist'!$B:$E, counta('SEO Implementation Checklist'!$B$2:$E$2), true))</f>
        <v/>
      </c>
      <c r="D825" s="135" t="s">
        <v>368</v>
      </c>
      <c r="E825" s="137" t="s">
        <v>369</v>
      </c>
      <c r="F825" s="138"/>
      <c r="G825" s="138"/>
      <c r="H825" s="139"/>
    </row>
    <row r="826" ht="15.75" customHeight="1">
      <c r="A826" s="133"/>
      <c r="B826" s="128"/>
      <c r="C826" s="134" t="str">
        <f>if(A826="", "", vlookup(A826+0.01, 'SEO Implementation Checklist'!$B:$E, counta('SEO Implementation Checklist'!$B$2:$E$2), true))</f>
        <v/>
      </c>
      <c r="D826" s="135" t="s">
        <v>368</v>
      </c>
      <c r="E826" s="137" t="s">
        <v>369</v>
      </c>
      <c r="F826" s="138"/>
      <c r="G826" s="138"/>
      <c r="H826" s="139"/>
    </row>
    <row r="827" ht="15.75" customHeight="1">
      <c r="A827" s="133"/>
      <c r="B827" s="128"/>
      <c r="C827" s="134" t="str">
        <f>if(A827="", "", vlookup(A827+0.01, 'SEO Implementation Checklist'!$B:$E, counta('SEO Implementation Checklist'!$B$2:$E$2), true))</f>
        <v/>
      </c>
      <c r="D827" s="135" t="s">
        <v>368</v>
      </c>
      <c r="E827" s="137" t="s">
        <v>369</v>
      </c>
      <c r="F827" s="138"/>
      <c r="G827" s="138"/>
      <c r="H827" s="139"/>
    </row>
    <row r="828" ht="15.75" customHeight="1">
      <c r="A828" s="133"/>
      <c r="B828" s="128"/>
      <c r="C828" s="134" t="str">
        <f>if(A828="", "", vlookup(A828+0.01, 'SEO Implementation Checklist'!$B:$E, counta('SEO Implementation Checklist'!$B$2:$E$2), true))</f>
        <v/>
      </c>
      <c r="D828" s="135" t="s">
        <v>368</v>
      </c>
      <c r="E828" s="137" t="s">
        <v>369</v>
      </c>
      <c r="F828" s="138"/>
      <c r="G828" s="138"/>
      <c r="H828" s="139"/>
    </row>
    <row r="829" ht="15.75" customHeight="1">
      <c r="A829" s="133"/>
      <c r="B829" s="128"/>
      <c r="C829" s="134" t="str">
        <f>if(A829="", "", vlookup(A829+0.01, 'SEO Implementation Checklist'!$B:$E, counta('SEO Implementation Checklist'!$B$2:$E$2), true))</f>
        <v/>
      </c>
      <c r="D829" s="135" t="s">
        <v>368</v>
      </c>
      <c r="E829" s="137" t="s">
        <v>369</v>
      </c>
      <c r="F829" s="138"/>
      <c r="G829" s="138"/>
      <c r="H829" s="139"/>
    </row>
    <row r="830" ht="15.75" customHeight="1">
      <c r="A830" s="133"/>
      <c r="B830" s="128"/>
      <c r="C830" s="134" t="str">
        <f>if(A830="", "", vlookup(A830+0.01, 'SEO Implementation Checklist'!$B:$E, counta('SEO Implementation Checklist'!$B$2:$E$2), true))</f>
        <v/>
      </c>
      <c r="D830" s="135" t="s">
        <v>368</v>
      </c>
      <c r="E830" s="137" t="s">
        <v>369</v>
      </c>
      <c r="F830" s="138"/>
      <c r="G830" s="138"/>
      <c r="H830" s="139"/>
    </row>
    <row r="831" ht="15.75" customHeight="1">
      <c r="A831" s="133"/>
      <c r="B831" s="128"/>
      <c r="C831" s="134" t="str">
        <f>if(A831="", "", vlookup(A831+0.01, 'SEO Implementation Checklist'!$B:$E, counta('SEO Implementation Checklist'!$B$2:$E$2), true))</f>
        <v/>
      </c>
      <c r="D831" s="135" t="s">
        <v>368</v>
      </c>
      <c r="E831" s="137" t="s">
        <v>369</v>
      </c>
      <c r="F831" s="138"/>
      <c r="G831" s="138"/>
      <c r="H831" s="139"/>
    </row>
    <row r="832" ht="15.75" customHeight="1">
      <c r="A832" s="133"/>
      <c r="B832" s="128"/>
      <c r="C832" s="134" t="str">
        <f>if(A832="", "", vlookup(A832+0.01, 'SEO Implementation Checklist'!$B:$E, counta('SEO Implementation Checklist'!$B$2:$E$2), true))</f>
        <v/>
      </c>
      <c r="D832" s="135" t="s">
        <v>368</v>
      </c>
      <c r="E832" s="137" t="s">
        <v>369</v>
      </c>
      <c r="F832" s="138"/>
      <c r="G832" s="138"/>
      <c r="H832" s="139"/>
    </row>
    <row r="833" ht="15.75" customHeight="1">
      <c r="A833" s="133"/>
      <c r="B833" s="128"/>
      <c r="C833" s="134" t="str">
        <f>if(A833="", "", vlookup(A833+0.01, 'SEO Implementation Checklist'!$B:$E, counta('SEO Implementation Checklist'!$B$2:$E$2), true))</f>
        <v/>
      </c>
      <c r="D833" s="135" t="s">
        <v>368</v>
      </c>
      <c r="E833" s="137" t="s">
        <v>369</v>
      </c>
      <c r="F833" s="138"/>
      <c r="G833" s="138"/>
      <c r="H833" s="139"/>
    </row>
    <row r="834" ht="15.75" customHeight="1">
      <c r="A834" s="133"/>
      <c r="B834" s="128"/>
      <c r="C834" s="134" t="str">
        <f>if(A834="", "", vlookup(A834+0.01, 'SEO Implementation Checklist'!$B:$E, counta('SEO Implementation Checklist'!$B$2:$E$2), true))</f>
        <v/>
      </c>
      <c r="D834" s="135" t="s">
        <v>368</v>
      </c>
      <c r="E834" s="137" t="s">
        <v>369</v>
      </c>
      <c r="F834" s="138"/>
      <c r="G834" s="138"/>
      <c r="H834" s="139"/>
    </row>
    <row r="835" ht="15.75" customHeight="1">
      <c r="A835" s="133"/>
      <c r="B835" s="128"/>
      <c r="C835" s="134" t="str">
        <f>if(A835="", "", vlookup(A835+0.01, 'SEO Implementation Checklist'!$B:$E, counta('SEO Implementation Checklist'!$B$2:$E$2), true))</f>
        <v/>
      </c>
      <c r="D835" s="135" t="s">
        <v>368</v>
      </c>
      <c r="E835" s="137" t="s">
        <v>369</v>
      </c>
      <c r="F835" s="138"/>
      <c r="G835" s="138"/>
      <c r="H835" s="139"/>
    </row>
    <row r="836" ht="15.75" customHeight="1">
      <c r="A836" s="133"/>
      <c r="B836" s="128"/>
      <c r="C836" s="134" t="str">
        <f>if(A836="", "", vlookup(A836+0.01, 'SEO Implementation Checklist'!$B:$E, counta('SEO Implementation Checklist'!$B$2:$E$2), true))</f>
        <v/>
      </c>
      <c r="D836" s="135" t="s">
        <v>368</v>
      </c>
      <c r="E836" s="137" t="s">
        <v>369</v>
      </c>
      <c r="F836" s="138"/>
      <c r="G836" s="138"/>
      <c r="H836" s="139"/>
    </row>
    <row r="837" ht="15.75" customHeight="1">
      <c r="A837" s="133"/>
      <c r="B837" s="128"/>
      <c r="C837" s="134" t="str">
        <f>if(A837="", "", vlookup(A837+0.01, 'SEO Implementation Checklist'!$B:$E, counta('SEO Implementation Checklist'!$B$2:$E$2), true))</f>
        <v/>
      </c>
      <c r="D837" s="135" t="s">
        <v>368</v>
      </c>
      <c r="E837" s="137" t="s">
        <v>369</v>
      </c>
      <c r="F837" s="138"/>
      <c r="G837" s="138"/>
      <c r="H837" s="139"/>
    </row>
    <row r="838" ht="15.75" customHeight="1">
      <c r="A838" s="133"/>
      <c r="B838" s="128"/>
      <c r="C838" s="134" t="str">
        <f>if(A838="", "", vlookup(A838+0.01, 'SEO Implementation Checklist'!$B:$E, counta('SEO Implementation Checklist'!$B$2:$E$2), true))</f>
        <v/>
      </c>
      <c r="D838" s="135" t="s">
        <v>368</v>
      </c>
      <c r="E838" s="137" t="s">
        <v>369</v>
      </c>
      <c r="F838" s="138"/>
      <c r="G838" s="138"/>
      <c r="H838" s="139"/>
    </row>
    <row r="839" ht="15.75" customHeight="1">
      <c r="A839" s="133"/>
      <c r="B839" s="128"/>
      <c r="C839" s="134" t="str">
        <f>if(A839="", "", vlookup(A839+0.01, 'SEO Implementation Checklist'!$B:$E, counta('SEO Implementation Checklist'!$B$2:$E$2), true))</f>
        <v/>
      </c>
      <c r="D839" s="135" t="s">
        <v>368</v>
      </c>
      <c r="E839" s="137" t="s">
        <v>369</v>
      </c>
      <c r="F839" s="138"/>
      <c r="G839" s="138"/>
      <c r="H839" s="139"/>
    </row>
    <row r="840" ht="15.75" customHeight="1">
      <c r="A840" s="133"/>
      <c r="B840" s="128"/>
      <c r="C840" s="134" t="str">
        <f>if(A840="", "", vlookup(A840+0.01, 'SEO Implementation Checklist'!$B:$E, counta('SEO Implementation Checklist'!$B$2:$E$2), true))</f>
        <v/>
      </c>
      <c r="D840" s="135" t="s">
        <v>368</v>
      </c>
      <c r="E840" s="137" t="s">
        <v>369</v>
      </c>
      <c r="F840" s="138"/>
      <c r="G840" s="138"/>
      <c r="H840" s="139"/>
    </row>
    <row r="841" ht="15.75" customHeight="1">
      <c r="A841" s="133"/>
      <c r="B841" s="128"/>
      <c r="C841" s="134" t="str">
        <f>if(A841="", "", vlookup(A841+0.01, 'SEO Implementation Checklist'!$B:$E, counta('SEO Implementation Checklist'!$B$2:$E$2), true))</f>
        <v/>
      </c>
      <c r="D841" s="135" t="s">
        <v>368</v>
      </c>
      <c r="E841" s="137" t="s">
        <v>369</v>
      </c>
      <c r="F841" s="138"/>
      <c r="G841" s="138"/>
      <c r="H841" s="139"/>
    </row>
    <row r="842" ht="15.75" customHeight="1">
      <c r="A842" s="133"/>
      <c r="B842" s="128"/>
      <c r="C842" s="134" t="str">
        <f>if(A842="", "", vlookup(A842+0.01, 'SEO Implementation Checklist'!$B:$E, counta('SEO Implementation Checklist'!$B$2:$E$2), true))</f>
        <v/>
      </c>
      <c r="D842" s="135" t="s">
        <v>368</v>
      </c>
      <c r="E842" s="137" t="s">
        <v>369</v>
      </c>
      <c r="F842" s="138"/>
      <c r="G842" s="138"/>
      <c r="H842" s="139"/>
    </row>
    <row r="843" ht="15.75" customHeight="1">
      <c r="A843" s="133"/>
      <c r="B843" s="128"/>
      <c r="C843" s="134" t="str">
        <f>if(A843="", "", vlookup(A843+0.01, 'SEO Implementation Checklist'!$B:$E, counta('SEO Implementation Checklist'!$B$2:$E$2), true))</f>
        <v/>
      </c>
      <c r="D843" s="135" t="s">
        <v>368</v>
      </c>
      <c r="E843" s="137" t="s">
        <v>369</v>
      </c>
      <c r="F843" s="138"/>
      <c r="G843" s="138"/>
      <c r="H843" s="139"/>
    </row>
    <row r="844" ht="15.75" customHeight="1">
      <c r="A844" s="133"/>
      <c r="B844" s="128"/>
      <c r="C844" s="134" t="str">
        <f>if(A844="", "", vlookup(A844+0.01, 'SEO Implementation Checklist'!$B:$E, counta('SEO Implementation Checklist'!$B$2:$E$2), true))</f>
        <v/>
      </c>
      <c r="D844" s="135" t="s">
        <v>368</v>
      </c>
      <c r="E844" s="137" t="s">
        <v>369</v>
      </c>
      <c r="F844" s="138"/>
      <c r="G844" s="138"/>
      <c r="H844" s="139"/>
    </row>
    <row r="845" ht="15.75" customHeight="1">
      <c r="A845" s="133"/>
      <c r="B845" s="128"/>
      <c r="C845" s="134" t="str">
        <f>if(A845="", "", vlookup(A845+0.01, 'SEO Implementation Checklist'!$B:$E, counta('SEO Implementation Checklist'!$B$2:$E$2), true))</f>
        <v/>
      </c>
      <c r="D845" s="135" t="s">
        <v>368</v>
      </c>
      <c r="E845" s="137" t="s">
        <v>369</v>
      </c>
      <c r="F845" s="138"/>
      <c r="G845" s="138"/>
      <c r="H845" s="139"/>
    </row>
    <row r="846" ht="15.75" customHeight="1">
      <c r="A846" s="133"/>
      <c r="B846" s="128"/>
      <c r="C846" s="134" t="str">
        <f>if(A846="", "", vlookup(A846+0.01, 'SEO Implementation Checklist'!$B:$E, counta('SEO Implementation Checklist'!$B$2:$E$2), true))</f>
        <v/>
      </c>
      <c r="D846" s="135" t="s">
        <v>368</v>
      </c>
      <c r="E846" s="137" t="s">
        <v>369</v>
      </c>
      <c r="F846" s="138"/>
      <c r="G846" s="138"/>
      <c r="H846" s="139"/>
    </row>
    <row r="847" ht="15.75" customHeight="1">
      <c r="A847" s="133"/>
      <c r="B847" s="128"/>
      <c r="C847" s="134" t="str">
        <f>if(A847="", "", vlookup(A847+0.01, 'SEO Implementation Checklist'!$B:$E, counta('SEO Implementation Checklist'!$B$2:$E$2), true))</f>
        <v/>
      </c>
      <c r="D847" s="135" t="s">
        <v>368</v>
      </c>
      <c r="E847" s="137" t="s">
        <v>369</v>
      </c>
      <c r="F847" s="138"/>
      <c r="G847" s="138"/>
      <c r="H847" s="139"/>
    </row>
    <row r="848" ht="15.75" customHeight="1">
      <c r="A848" s="133"/>
      <c r="B848" s="128"/>
      <c r="C848" s="134" t="str">
        <f>if(A848="", "", vlookup(A848+0.01, 'SEO Implementation Checklist'!$B:$E, counta('SEO Implementation Checklist'!$B$2:$E$2), true))</f>
        <v/>
      </c>
      <c r="D848" s="135" t="s">
        <v>368</v>
      </c>
      <c r="E848" s="137" t="s">
        <v>369</v>
      </c>
      <c r="F848" s="138"/>
      <c r="G848" s="138"/>
      <c r="H848" s="139"/>
    </row>
    <row r="849" ht="15.75" customHeight="1">
      <c r="A849" s="133"/>
      <c r="B849" s="128"/>
      <c r="C849" s="134" t="str">
        <f>if(A849="", "", vlookup(A849+0.01, 'SEO Implementation Checklist'!$B:$E, counta('SEO Implementation Checklist'!$B$2:$E$2), true))</f>
        <v/>
      </c>
      <c r="D849" s="135" t="s">
        <v>368</v>
      </c>
      <c r="E849" s="137" t="s">
        <v>369</v>
      </c>
      <c r="F849" s="138"/>
      <c r="G849" s="138"/>
      <c r="H849" s="139"/>
    </row>
    <row r="850" ht="15.75" customHeight="1">
      <c r="A850" s="133"/>
      <c r="B850" s="128"/>
      <c r="C850" s="134" t="str">
        <f>if(A850="", "", vlookup(A850+0.01, 'SEO Implementation Checklist'!$B:$E, counta('SEO Implementation Checklist'!$B$2:$E$2), true))</f>
        <v/>
      </c>
      <c r="D850" s="135" t="s">
        <v>368</v>
      </c>
      <c r="E850" s="137" t="s">
        <v>369</v>
      </c>
      <c r="F850" s="138"/>
      <c r="G850" s="138"/>
      <c r="H850" s="139"/>
    </row>
    <row r="851" ht="15.75" customHeight="1">
      <c r="A851" s="133"/>
      <c r="B851" s="128"/>
      <c r="C851" s="134" t="str">
        <f>if(A851="", "", vlookup(A851+0.01, 'SEO Implementation Checklist'!$B:$E, counta('SEO Implementation Checklist'!$B$2:$E$2), true))</f>
        <v/>
      </c>
      <c r="D851" s="135" t="s">
        <v>368</v>
      </c>
      <c r="E851" s="137" t="s">
        <v>369</v>
      </c>
      <c r="F851" s="138"/>
      <c r="G851" s="138"/>
      <c r="H851" s="139"/>
    </row>
    <row r="852" ht="15.75" customHeight="1">
      <c r="A852" s="133"/>
      <c r="B852" s="128"/>
      <c r="C852" s="134" t="str">
        <f>if(A852="", "", vlookup(A852+0.01, 'SEO Implementation Checklist'!$B:$E, counta('SEO Implementation Checklist'!$B$2:$E$2), true))</f>
        <v/>
      </c>
      <c r="D852" s="135" t="s">
        <v>368</v>
      </c>
      <c r="E852" s="137" t="s">
        <v>369</v>
      </c>
      <c r="F852" s="138"/>
      <c r="G852" s="138"/>
      <c r="H852" s="139"/>
    </row>
    <row r="853" ht="15.75" customHeight="1">
      <c r="A853" s="133"/>
      <c r="B853" s="128"/>
      <c r="C853" s="134" t="str">
        <f>if(A853="", "", vlookup(A853+0.01, 'SEO Implementation Checklist'!$B:$E, counta('SEO Implementation Checklist'!$B$2:$E$2), true))</f>
        <v/>
      </c>
      <c r="D853" s="135" t="s">
        <v>368</v>
      </c>
      <c r="E853" s="137" t="s">
        <v>369</v>
      </c>
      <c r="F853" s="138"/>
      <c r="G853" s="138"/>
      <c r="H853" s="139"/>
    </row>
    <row r="854" ht="15.75" customHeight="1">
      <c r="A854" s="133"/>
      <c r="B854" s="128"/>
      <c r="C854" s="134" t="str">
        <f>if(A854="", "", vlookup(A854+0.01, 'SEO Implementation Checklist'!$B:$E, counta('SEO Implementation Checklist'!$B$2:$E$2), true))</f>
        <v/>
      </c>
      <c r="D854" s="135" t="s">
        <v>368</v>
      </c>
      <c r="E854" s="137" t="s">
        <v>369</v>
      </c>
      <c r="F854" s="138"/>
      <c r="G854" s="138"/>
      <c r="H854" s="139"/>
    </row>
    <row r="855" ht="15.75" customHeight="1">
      <c r="A855" s="133"/>
      <c r="B855" s="128"/>
      <c r="C855" s="134" t="str">
        <f>if(A855="", "", vlookup(A855+0.01, 'SEO Implementation Checklist'!$B:$E, counta('SEO Implementation Checklist'!$B$2:$E$2), true))</f>
        <v/>
      </c>
      <c r="D855" s="135" t="s">
        <v>368</v>
      </c>
      <c r="E855" s="137" t="s">
        <v>369</v>
      </c>
      <c r="F855" s="138"/>
      <c r="G855" s="138"/>
      <c r="H855" s="139"/>
    </row>
    <row r="856" ht="15.75" customHeight="1">
      <c r="A856" s="133"/>
      <c r="B856" s="128"/>
      <c r="C856" s="134" t="str">
        <f>if(A856="", "", vlookup(A856+0.01, 'SEO Implementation Checklist'!$B:$E, counta('SEO Implementation Checklist'!$B$2:$E$2), true))</f>
        <v/>
      </c>
      <c r="D856" s="135" t="s">
        <v>368</v>
      </c>
      <c r="E856" s="137" t="s">
        <v>369</v>
      </c>
      <c r="F856" s="138"/>
      <c r="G856" s="138"/>
      <c r="H856" s="139"/>
    </row>
    <row r="857" ht="15.75" customHeight="1">
      <c r="A857" s="133"/>
      <c r="B857" s="128"/>
      <c r="C857" s="134" t="str">
        <f>if(A857="", "", vlookup(A857+0.01, 'SEO Implementation Checklist'!$B:$E, counta('SEO Implementation Checklist'!$B$2:$E$2), true))</f>
        <v/>
      </c>
      <c r="D857" s="135" t="s">
        <v>368</v>
      </c>
      <c r="E857" s="137" t="s">
        <v>369</v>
      </c>
      <c r="F857" s="138"/>
      <c r="G857" s="138"/>
      <c r="H857" s="139"/>
    </row>
    <row r="858" ht="15.75" customHeight="1">
      <c r="A858" s="133"/>
      <c r="B858" s="128"/>
      <c r="C858" s="134" t="str">
        <f>if(A858="", "", vlookup(A858+0.01, 'SEO Implementation Checklist'!$B:$E, counta('SEO Implementation Checklist'!$B$2:$E$2), true))</f>
        <v/>
      </c>
      <c r="D858" s="135" t="s">
        <v>368</v>
      </c>
      <c r="E858" s="137" t="s">
        <v>369</v>
      </c>
      <c r="F858" s="138"/>
      <c r="G858" s="138"/>
      <c r="H858" s="139"/>
    </row>
    <row r="859" ht="15.75" customHeight="1">
      <c r="A859" s="133"/>
      <c r="B859" s="128"/>
      <c r="C859" s="134" t="str">
        <f>if(A859="", "", vlookup(A859+0.01, 'SEO Implementation Checklist'!$B:$E, counta('SEO Implementation Checklist'!$B$2:$E$2), true))</f>
        <v/>
      </c>
      <c r="D859" s="135" t="s">
        <v>368</v>
      </c>
      <c r="E859" s="137" t="s">
        <v>369</v>
      </c>
      <c r="F859" s="138"/>
      <c r="G859" s="138"/>
      <c r="H859" s="139"/>
    </row>
    <row r="860" ht="15.75" customHeight="1">
      <c r="A860" s="133"/>
      <c r="B860" s="128"/>
      <c r="C860" s="134" t="str">
        <f>if(A860="", "", vlookup(A860+0.01, 'SEO Implementation Checklist'!$B:$E, counta('SEO Implementation Checklist'!$B$2:$E$2), true))</f>
        <v/>
      </c>
      <c r="D860" s="135" t="s">
        <v>368</v>
      </c>
      <c r="E860" s="137" t="s">
        <v>369</v>
      </c>
      <c r="F860" s="138"/>
      <c r="G860" s="138"/>
      <c r="H860" s="139"/>
    </row>
    <row r="861" ht="15.75" customHeight="1">
      <c r="A861" s="133"/>
      <c r="B861" s="128"/>
      <c r="C861" s="134" t="str">
        <f>if(A861="", "", vlookup(A861+0.01, 'SEO Implementation Checklist'!$B:$E, counta('SEO Implementation Checklist'!$B$2:$E$2), true))</f>
        <v/>
      </c>
      <c r="D861" s="135" t="s">
        <v>368</v>
      </c>
      <c r="E861" s="137" t="s">
        <v>369</v>
      </c>
      <c r="F861" s="138"/>
      <c r="G861" s="138"/>
      <c r="H861" s="139"/>
    </row>
    <row r="862" ht="15.75" customHeight="1">
      <c r="A862" s="133"/>
      <c r="B862" s="128"/>
      <c r="C862" s="134" t="str">
        <f>if(A862="", "", vlookup(A862+0.01, 'SEO Implementation Checklist'!$B:$E, counta('SEO Implementation Checklist'!$B$2:$E$2), true))</f>
        <v/>
      </c>
      <c r="D862" s="135" t="s">
        <v>368</v>
      </c>
      <c r="E862" s="137" t="s">
        <v>369</v>
      </c>
      <c r="F862" s="138"/>
      <c r="G862" s="138"/>
      <c r="H862" s="139"/>
    </row>
    <row r="863" ht="15.75" customHeight="1">
      <c r="A863" s="133"/>
      <c r="B863" s="128"/>
      <c r="C863" s="134" t="str">
        <f>if(A863="", "", vlookup(A863+0.01, 'SEO Implementation Checklist'!$B:$E, counta('SEO Implementation Checklist'!$B$2:$E$2), true))</f>
        <v/>
      </c>
      <c r="D863" s="135" t="s">
        <v>368</v>
      </c>
      <c r="E863" s="137" t="s">
        <v>369</v>
      </c>
      <c r="F863" s="138"/>
      <c r="G863" s="138"/>
      <c r="H863" s="139"/>
    </row>
    <row r="864" ht="15.75" customHeight="1">
      <c r="A864" s="133"/>
      <c r="B864" s="128"/>
      <c r="C864" s="134" t="str">
        <f>if(A864="", "", vlookup(A864+0.01, 'SEO Implementation Checklist'!$B:$E, counta('SEO Implementation Checklist'!$B$2:$E$2), true))</f>
        <v/>
      </c>
      <c r="D864" s="135" t="s">
        <v>368</v>
      </c>
      <c r="E864" s="137" t="s">
        <v>369</v>
      </c>
      <c r="F864" s="138"/>
      <c r="G864" s="138"/>
      <c r="H864" s="139"/>
    </row>
    <row r="865" ht="15.75" customHeight="1">
      <c r="A865" s="133"/>
      <c r="B865" s="128"/>
      <c r="C865" s="134" t="str">
        <f>if(A865="", "", vlookup(A865+0.01, 'SEO Implementation Checklist'!$B:$E, counta('SEO Implementation Checklist'!$B$2:$E$2), true))</f>
        <v/>
      </c>
      <c r="D865" s="135" t="s">
        <v>368</v>
      </c>
      <c r="E865" s="137" t="s">
        <v>369</v>
      </c>
      <c r="F865" s="138"/>
      <c r="G865" s="138"/>
      <c r="H865" s="139"/>
    </row>
    <row r="866" ht="15.75" customHeight="1">
      <c r="A866" s="133"/>
      <c r="B866" s="128"/>
      <c r="C866" s="134" t="str">
        <f>if(A866="", "", vlookup(A866+0.01, 'SEO Implementation Checklist'!$B:$E, counta('SEO Implementation Checklist'!$B$2:$E$2), true))</f>
        <v/>
      </c>
      <c r="D866" s="135" t="s">
        <v>368</v>
      </c>
      <c r="E866" s="137" t="s">
        <v>369</v>
      </c>
      <c r="F866" s="138"/>
      <c r="G866" s="138"/>
      <c r="H866" s="139"/>
    </row>
    <row r="867" ht="15.75" customHeight="1">
      <c r="A867" s="133"/>
      <c r="B867" s="128"/>
      <c r="C867" s="134" t="str">
        <f>if(A867="", "", vlookup(A867+0.01, 'SEO Implementation Checklist'!$B:$E, counta('SEO Implementation Checklist'!$B$2:$E$2), true))</f>
        <v/>
      </c>
      <c r="D867" s="135" t="s">
        <v>368</v>
      </c>
      <c r="E867" s="137" t="s">
        <v>369</v>
      </c>
      <c r="F867" s="138"/>
      <c r="G867" s="138"/>
      <c r="H867" s="139"/>
    </row>
    <row r="868" ht="15.75" customHeight="1">
      <c r="A868" s="133"/>
      <c r="B868" s="128"/>
      <c r="C868" s="134" t="str">
        <f>if(A868="", "", vlookup(A868+0.01, 'SEO Implementation Checklist'!$B:$E, counta('SEO Implementation Checklist'!$B$2:$E$2), true))</f>
        <v/>
      </c>
      <c r="D868" s="135" t="s">
        <v>368</v>
      </c>
      <c r="E868" s="137" t="s">
        <v>369</v>
      </c>
      <c r="F868" s="138"/>
      <c r="G868" s="138"/>
      <c r="H868" s="139"/>
    </row>
    <row r="869" ht="15.75" customHeight="1">
      <c r="A869" s="133"/>
      <c r="B869" s="128"/>
      <c r="C869" s="134" t="str">
        <f>if(A869="", "", vlookup(A869+0.01, 'SEO Implementation Checklist'!$B:$E, counta('SEO Implementation Checklist'!$B$2:$E$2), true))</f>
        <v/>
      </c>
      <c r="D869" s="135" t="s">
        <v>368</v>
      </c>
      <c r="E869" s="137" t="s">
        <v>369</v>
      </c>
      <c r="F869" s="138"/>
      <c r="G869" s="138"/>
      <c r="H869" s="139"/>
    </row>
    <row r="870" ht="15.75" customHeight="1">
      <c r="A870" s="133"/>
      <c r="B870" s="128"/>
      <c r="C870" s="134" t="str">
        <f>if(A870="", "", vlookup(A870+0.01, 'SEO Implementation Checklist'!$B:$E, counta('SEO Implementation Checklist'!$B$2:$E$2), true))</f>
        <v/>
      </c>
      <c r="D870" s="135" t="s">
        <v>368</v>
      </c>
      <c r="E870" s="137" t="s">
        <v>369</v>
      </c>
      <c r="F870" s="138"/>
      <c r="G870" s="138"/>
      <c r="H870" s="139"/>
    </row>
    <row r="871" ht="15.75" customHeight="1">
      <c r="A871" s="133"/>
      <c r="B871" s="128"/>
      <c r="C871" s="134" t="str">
        <f>if(A871="", "", vlookup(A871+0.01, 'SEO Implementation Checklist'!$B:$E, counta('SEO Implementation Checklist'!$B$2:$E$2), true))</f>
        <v/>
      </c>
      <c r="D871" s="135" t="s">
        <v>368</v>
      </c>
      <c r="E871" s="137" t="s">
        <v>369</v>
      </c>
      <c r="F871" s="138"/>
      <c r="G871" s="138"/>
      <c r="H871" s="139"/>
    </row>
    <row r="872" ht="15.75" customHeight="1">
      <c r="A872" s="133"/>
      <c r="B872" s="128"/>
      <c r="C872" s="134" t="str">
        <f>if(A872="", "", vlookup(A872+0.01, 'SEO Implementation Checklist'!$B:$E, counta('SEO Implementation Checklist'!$B$2:$E$2), true))</f>
        <v/>
      </c>
      <c r="D872" s="135" t="s">
        <v>368</v>
      </c>
      <c r="E872" s="137" t="s">
        <v>369</v>
      </c>
      <c r="F872" s="138"/>
      <c r="G872" s="138"/>
      <c r="H872" s="139"/>
    </row>
    <row r="873" ht="15.75" customHeight="1">
      <c r="A873" s="133"/>
      <c r="B873" s="128"/>
      <c r="C873" s="134" t="str">
        <f>if(A873="", "", vlookup(A873+0.01, 'SEO Implementation Checklist'!$B:$E, counta('SEO Implementation Checklist'!$B$2:$E$2), true))</f>
        <v/>
      </c>
      <c r="D873" s="135" t="s">
        <v>368</v>
      </c>
      <c r="E873" s="137" t="s">
        <v>369</v>
      </c>
      <c r="F873" s="138"/>
      <c r="G873" s="138"/>
      <c r="H873" s="139"/>
    </row>
    <row r="874" ht="15.75" customHeight="1">
      <c r="A874" s="133"/>
      <c r="B874" s="128"/>
      <c r="C874" s="134" t="str">
        <f>if(A874="", "", vlookup(A874+0.01, 'SEO Implementation Checklist'!$B:$E, counta('SEO Implementation Checklist'!$B$2:$E$2), true))</f>
        <v/>
      </c>
      <c r="D874" s="135" t="s">
        <v>368</v>
      </c>
      <c r="E874" s="137" t="s">
        <v>369</v>
      </c>
      <c r="F874" s="138"/>
      <c r="G874" s="138"/>
      <c r="H874" s="139"/>
    </row>
    <row r="875" ht="15.75" customHeight="1">
      <c r="A875" s="133"/>
      <c r="B875" s="128"/>
      <c r="C875" s="134" t="str">
        <f>if(A875="", "", vlookup(A875+0.01, 'SEO Implementation Checklist'!$B:$E, counta('SEO Implementation Checklist'!$B$2:$E$2), true))</f>
        <v/>
      </c>
      <c r="D875" s="135" t="s">
        <v>368</v>
      </c>
      <c r="E875" s="137" t="s">
        <v>369</v>
      </c>
      <c r="F875" s="138"/>
      <c r="G875" s="138"/>
      <c r="H875" s="139"/>
    </row>
    <row r="876" ht="15.75" customHeight="1">
      <c r="A876" s="133"/>
      <c r="B876" s="128"/>
      <c r="C876" s="134" t="str">
        <f>if(A876="", "", vlookup(A876+0.01, 'SEO Implementation Checklist'!$B:$E, counta('SEO Implementation Checklist'!$B$2:$E$2), true))</f>
        <v/>
      </c>
      <c r="D876" s="135" t="s">
        <v>368</v>
      </c>
      <c r="E876" s="137" t="s">
        <v>369</v>
      </c>
      <c r="F876" s="138"/>
      <c r="G876" s="138"/>
      <c r="H876" s="139"/>
    </row>
    <row r="877" ht="15.75" customHeight="1">
      <c r="A877" s="133"/>
      <c r="B877" s="128"/>
      <c r="C877" s="134" t="str">
        <f>if(A877="", "", vlookup(A877+0.01, 'SEO Implementation Checklist'!$B:$E, counta('SEO Implementation Checklist'!$B$2:$E$2), true))</f>
        <v/>
      </c>
      <c r="D877" s="135" t="s">
        <v>368</v>
      </c>
      <c r="E877" s="137" t="s">
        <v>369</v>
      </c>
      <c r="F877" s="138"/>
      <c r="G877" s="138"/>
      <c r="H877" s="139"/>
    </row>
    <row r="878" ht="15.75" customHeight="1">
      <c r="A878" s="133"/>
      <c r="B878" s="128"/>
      <c r="C878" s="134" t="str">
        <f>if(A878="", "", vlookup(A878+0.01, 'SEO Implementation Checklist'!$B:$E, counta('SEO Implementation Checklist'!$B$2:$E$2), true))</f>
        <v/>
      </c>
      <c r="D878" s="135" t="s">
        <v>368</v>
      </c>
      <c r="E878" s="137" t="s">
        <v>369</v>
      </c>
      <c r="F878" s="138"/>
      <c r="G878" s="138"/>
      <c r="H878" s="139"/>
    </row>
    <row r="879" ht="15.75" customHeight="1">
      <c r="A879" s="133"/>
      <c r="B879" s="128"/>
      <c r="C879" s="134" t="str">
        <f>if(A879="", "", vlookup(A879+0.01, 'SEO Implementation Checklist'!$B:$E, counta('SEO Implementation Checklist'!$B$2:$E$2), true))</f>
        <v/>
      </c>
      <c r="D879" s="135" t="s">
        <v>368</v>
      </c>
      <c r="E879" s="137" t="s">
        <v>369</v>
      </c>
      <c r="F879" s="138"/>
      <c r="G879" s="138"/>
      <c r="H879" s="139"/>
    </row>
    <row r="880" ht="15.75" customHeight="1">
      <c r="A880" s="133"/>
      <c r="B880" s="128"/>
      <c r="C880" s="134" t="str">
        <f>if(A880="", "", vlookup(A880+0.01, 'SEO Implementation Checklist'!$B:$E, counta('SEO Implementation Checklist'!$B$2:$E$2), true))</f>
        <v/>
      </c>
      <c r="D880" s="135" t="s">
        <v>368</v>
      </c>
      <c r="E880" s="137" t="s">
        <v>369</v>
      </c>
      <c r="F880" s="138"/>
      <c r="G880" s="138"/>
      <c r="H880" s="139"/>
    </row>
    <row r="881" ht="15.75" customHeight="1">
      <c r="A881" s="133"/>
      <c r="B881" s="128"/>
      <c r="C881" s="134" t="str">
        <f>if(A881="", "", vlookup(A881+0.01, 'SEO Implementation Checklist'!$B:$E, counta('SEO Implementation Checklist'!$B$2:$E$2), true))</f>
        <v/>
      </c>
      <c r="D881" s="135" t="s">
        <v>368</v>
      </c>
      <c r="E881" s="137" t="s">
        <v>369</v>
      </c>
      <c r="F881" s="138"/>
      <c r="G881" s="138"/>
      <c r="H881" s="139"/>
    </row>
    <row r="882" ht="15.75" customHeight="1">
      <c r="A882" s="133"/>
      <c r="B882" s="128"/>
      <c r="C882" s="134" t="str">
        <f>if(A882="", "", vlookup(A882+0.01, 'SEO Implementation Checklist'!$B:$E, counta('SEO Implementation Checklist'!$B$2:$E$2), true))</f>
        <v/>
      </c>
      <c r="D882" s="135" t="s">
        <v>368</v>
      </c>
      <c r="E882" s="137" t="s">
        <v>369</v>
      </c>
      <c r="F882" s="138"/>
      <c r="G882" s="138"/>
      <c r="H882" s="139"/>
    </row>
    <row r="883" ht="15.75" customHeight="1">
      <c r="A883" s="133"/>
      <c r="B883" s="128"/>
      <c r="C883" s="134" t="str">
        <f>if(A883="", "", vlookup(A883+0.01, 'SEO Implementation Checklist'!$B:$E, counta('SEO Implementation Checklist'!$B$2:$E$2), true))</f>
        <v/>
      </c>
      <c r="D883" s="135" t="s">
        <v>368</v>
      </c>
      <c r="E883" s="137" t="s">
        <v>369</v>
      </c>
      <c r="F883" s="138"/>
      <c r="G883" s="138"/>
      <c r="H883" s="139"/>
    </row>
    <row r="884" ht="15.75" customHeight="1">
      <c r="A884" s="133"/>
      <c r="B884" s="128"/>
      <c r="C884" s="134" t="str">
        <f>if(A884="", "", vlookup(A884+0.01, 'SEO Implementation Checklist'!$B:$E, counta('SEO Implementation Checklist'!$B$2:$E$2), true))</f>
        <v/>
      </c>
      <c r="D884" s="135" t="s">
        <v>368</v>
      </c>
      <c r="E884" s="137" t="s">
        <v>369</v>
      </c>
      <c r="F884" s="138"/>
      <c r="G884" s="138"/>
      <c r="H884" s="139"/>
    </row>
    <row r="885" ht="15.75" customHeight="1">
      <c r="A885" s="133"/>
      <c r="B885" s="128"/>
      <c r="C885" s="134" t="str">
        <f>if(A885="", "", vlookup(A885+0.01, 'SEO Implementation Checklist'!$B:$E, counta('SEO Implementation Checklist'!$B$2:$E$2), true))</f>
        <v/>
      </c>
      <c r="D885" s="135" t="s">
        <v>368</v>
      </c>
      <c r="E885" s="137" t="s">
        <v>369</v>
      </c>
      <c r="F885" s="138"/>
      <c r="G885" s="138"/>
      <c r="H885" s="139"/>
    </row>
    <row r="886" ht="15.75" customHeight="1">
      <c r="A886" s="133"/>
      <c r="B886" s="128"/>
      <c r="C886" s="134" t="str">
        <f>if(A886="", "", vlookup(A886+0.01, 'SEO Implementation Checklist'!$B:$E, counta('SEO Implementation Checklist'!$B$2:$E$2), true))</f>
        <v/>
      </c>
      <c r="D886" s="135" t="s">
        <v>368</v>
      </c>
      <c r="E886" s="137" t="s">
        <v>369</v>
      </c>
      <c r="F886" s="138"/>
      <c r="G886" s="138"/>
      <c r="H886" s="139"/>
    </row>
    <row r="887" ht="15.75" customHeight="1">
      <c r="A887" s="133"/>
      <c r="B887" s="128"/>
      <c r="C887" s="134" t="str">
        <f>if(A887="", "", vlookup(A887+0.01, 'SEO Implementation Checklist'!$B:$E, counta('SEO Implementation Checklist'!$B$2:$E$2), true))</f>
        <v/>
      </c>
      <c r="D887" s="135" t="s">
        <v>368</v>
      </c>
      <c r="E887" s="137" t="s">
        <v>369</v>
      </c>
      <c r="F887" s="138"/>
      <c r="G887" s="138"/>
      <c r="H887" s="139"/>
    </row>
    <row r="888" ht="15.75" customHeight="1">
      <c r="A888" s="133"/>
      <c r="B888" s="128"/>
      <c r="C888" s="134" t="str">
        <f>if(A888="", "", vlookup(A888+0.01, 'SEO Implementation Checklist'!$B:$E, counta('SEO Implementation Checklist'!$B$2:$E$2), true))</f>
        <v/>
      </c>
      <c r="D888" s="135" t="s">
        <v>368</v>
      </c>
      <c r="E888" s="137" t="s">
        <v>369</v>
      </c>
      <c r="F888" s="138"/>
      <c r="G888" s="138"/>
      <c r="H888" s="139"/>
    </row>
    <row r="889" ht="15.75" customHeight="1">
      <c r="A889" s="133"/>
      <c r="B889" s="128"/>
      <c r="C889" s="134" t="str">
        <f>if(A889="", "", vlookup(A889+0.01, 'SEO Implementation Checklist'!$B:$E, counta('SEO Implementation Checklist'!$B$2:$E$2), true))</f>
        <v/>
      </c>
      <c r="D889" s="135" t="s">
        <v>368</v>
      </c>
      <c r="E889" s="137" t="s">
        <v>369</v>
      </c>
      <c r="F889" s="138"/>
      <c r="G889" s="138"/>
      <c r="H889" s="139"/>
    </row>
    <row r="890" ht="15.75" customHeight="1">
      <c r="A890" s="133"/>
      <c r="B890" s="128"/>
      <c r="C890" s="134" t="str">
        <f>if(A890="", "", vlookup(A890+0.01, 'SEO Implementation Checklist'!$B:$E, counta('SEO Implementation Checklist'!$B$2:$E$2), true))</f>
        <v/>
      </c>
      <c r="D890" s="135" t="s">
        <v>368</v>
      </c>
      <c r="E890" s="137" t="s">
        <v>369</v>
      </c>
      <c r="F890" s="138"/>
      <c r="G890" s="138"/>
      <c r="H890" s="139"/>
    </row>
    <row r="891" ht="15.75" customHeight="1">
      <c r="A891" s="133"/>
      <c r="B891" s="128"/>
      <c r="C891" s="134" t="str">
        <f>if(A891="", "", vlookup(A891+0.01, 'SEO Implementation Checklist'!$B:$E, counta('SEO Implementation Checklist'!$B$2:$E$2), true))</f>
        <v/>
      </c>
      <c r="D891" s="135" t="s">
        <v>368</v>
      </c>
      <c r="E891" s="137" t="s">
        <v>369</v>
      </c>
      <c r="F891" s="138"/>
      <c r="G891" s="138"/>
      <c r="H891" s="139"/>
    </row>
    <row r="892" ht="15.75" customHeight="1">
      <c r="A892" s="133"/>
      <c r="B892" s="128"/>
      <c r="C892" s="134" t="str">
        <f>if(A892="", "", vlookup(A892+0.01, 'SEO Implementation Checklist'!$B:$E, counta('SEO Implementation Checklist'!$B$2:$E$2), true))</f>
        <v/>
      </c>
      <c r="D892" s="135" t="s">
        <v>368</v>
      </c>
      <c r="E892" s="137" t="s">
        <v>369</v>
      </c>
      <c r="F892" s="138"/>
      <c r="G892" s="138"/>
      <c r="H892" s="139"/>
    </row>
    <row r="893" ht="15.75" customHeight="1">
      <c r="A893" s="133"/>
      <c r="B893" s="128"/>
      <c r="C893" s="134" t="str">
        <f>if(A893="", "", vlookup(A893+0.01, 'SEO Implementation Checklist'!$B:$E, counta('SEO Implementation Checklist'!$B$2:$E$2), true))</f>
        <v/>
      </c>
      <c r="D893" s="135" t="s">
        <v>368</v>
      </c>
      <c r="E893" s="137" t="s">
        <v>369</v>
      </c>
      <c r="F893" s="138"/>
      <c r="G893" s="138"/>
      <c r="H893" s="139"/>
    </row>
    <row r="894" ht="15.75" customHeight="1">
      <c r="A894" s="133"/>
      <c r="B894" s="128"/>
      <c r="C894" s="134" t="str">
        <f>if(A894="", "", vlookup(A894+0.01, 'SEO Implementation Checklist'!$B:$E, counta('SEO Implementation Checklist'!$B$2:$E$2), true))</f>
        <v/>
      </c>
      <c r="D894" s="135" t="s">
        <v>368</v>
      </c>
      <c r="E894" s="137" t="s">
        <v>369</v>
      </c>
      <c r="F894" s="138"/>
      <c r="G894" s="138"/>
      <c r="H894" s="139"/>
    </row>
    <row r="895" ht="15.75" customHeight="1">
      <c r="A895" s="133"/>
      <c r="B895" s="128"/>
      <c r="C895" s="134" t="str">
        <f>if(A895="", "", vlookup(A895+0.01, 'SEO Implementation Checklist'!$B:$E, counta('SEO Implementation Checklist'!$B$2:$E$2), true))</f>
        <v/>
      </c>
      <c r="D895" s="135" t="s">
        <v>368</v>
      </c>
      <c r="E895" s="137" t="s">
        <v>369</v>
      </c>
      <c r="F895" s="138"/>
      <c r="G895" s="138"/>
      <c r="H895" s="139"/>
    </row>
    <row r="896" ht="15.75" customHeight="1">
      <c r="A896" s="133"/>
      <c r="B896" s="128"/>
      <c r="C896" s="134" t="str">
        <f>if(A896="", "", vlookup(A896+0.01, 'SEO Implementation Checklist'!$B:$E, counta('SEO Implementation Checklist'!$B$2:$E$2), true))</f>
        <v/>
      </c>
      <c r="D896" s="135" t="s">
        <v>368</v>
      </c>
      <c r="E896" s="137" t="s">
        <v>369</v>
      </c>
      <c r="F896" s="138"/>
      <c r="G896" s="138"/>
      <c r="H896" s="139"/>
    </row>
    <row r="897" ht="15.75" customHeight="1">
      <c r="A897" s="133"/>
      <c r="B897" s="128"/>
      <c r="C897" s="134" t="str">
        <f>if(A897="", "", vlookup(A897+0.01, 'SEO Implementation Checklist'!$B:$E, counta('SEO Implementation Checklist'!$B$2:$E$2), true))</f>
        <v/>
      </c>
      <c r="D897" s="135" t="s">
        <v>368</v>
      </c>
      <c r="E897" s="137" t="s">
        <v>369</v>
      </c>
      <c r="F897" s="138"/>
      <c r="G897" s="138"/>
      <c r="H897" s="139"/>
    </row>
    <row r="898" ht="15.75" customHeight="1">
      <c r="A898" s="133"/>
      <c r="B898" s="128"/>
      <c r="C898" s="134" t="str">
        <f>if(A898="", "", vlookup(A898+0.01, 'SEO Implementation Checklist'!$B:$E, counta('SEO Implementation Checklist'!$B$2:$E$2), true))</f>
        <v/>
      </c>
      <c r="D898" s="135" t="s">
        <v>368</v>
      </c>
      <c r="E898" s="137" t="s">
        <v>369</v>
      </c>
      <c r="F898" s="138"/>
      <c r="G898" s="138"/>
      <c r="H898" s="139"/>
    </row>
    <row r="899" ht="15.75" customHeight="1">
      <c r="A899" s="133"/>
      <c r="B899" s="128"/>
      <c r="C899" s="134" t="str">
        <f>if(A899="", "", vlookup(A899+0.01, 'SEO Implementation Checklist'!$B:$E, counta('SEO Implementation Checklist'!$B$2:$E$2), true))</f>
        <v/>
      </c>
      <c r="D899" s="135" t="s">
        <v>368</v>
      </c>
      <c r="E899" s="137" t="s">
        <v>369</v>
      </c>
      <c r="F899" s="138"/>
      <c r="G899" s="138"/>
      <c r="H899" s="139"/>
    </row>
    <row r="900" ht="15.75" customHeight="1">
      <c r="A900" s="133"/>
      <c r="B900" s="128"/>
      <c r="C900" s="134" t="str">
        <f>if(A900="", "", vlookup(A900+0.01, 'SEO Implementation Checklist'!$B:$E, counta('SEO Implementation Checklist'!$B$2:$E$2), true))</f>
        <v/>
      </c>
      <c r="D900" s="135" t="s">
        <v>368</v>
      </c>
      <c r="E900" s="137" t="s">
        <v>369</v>
      </c>
      <c r="F900" s="138"/>
      <c r="G900" s="138"/>
      <c r="H900" s="139"/>
    </row>
    <row r="901" ht="15.75" customHeight="1">
      <c r="A901" s="133"/>
      <c r="B901" s="128"/>
      <c r="C901" s="134" t="str">
        <f>if(A901="", "", vlookup(A901+0.01, 'SEO Implementation Checklist'!$B:$E, counta('SEO Implementation Checklist'!$B$2:$E$2), true))</f>
        <v/>
      </c>
      <c r="D901" s="135" t="s">
        <v>368</v>
      </c>
      <c r="E901" s="137" t="s">
        <v>369</v>
      </c>
      <c r="F901" s="138"/>
      <c r="G901" s="138"/>
      <c r="H901" s="139"/>
    </row>
    <row r="902" ht="15.75" customHeight="1">
      <c r="A902" s="133"/>
      <c r="B902" s="128"/>
      <c r="C902" s="134" t="str">
        <f>if(A902="", "", vlookup(A902+0.01, 'SEO Implementation Checklist'!$B:$E, counta('SEO Implementation Checklist'!$B$2:$E$2), true))</f>
        <v/>
      </c>
      <c r="D902" s="135" t="s">
        <v>368</v>
      </c>
      <c r="E902" s="137" t="s">
        <v>369</v>
      </c>
      <c r="F902" s="138"/>
      <c r="G902" s="138"/>
      <c r="H902" s="139"/>
    </row>
    <row r="903" ht="15.75" customHeight="1">
      <c r="A903" s="133"/>
      <c r="B903" s="128"/>
      <c r="C903" s="134" t="str">
        <f>if(A903="", "", vlookup(A903+0.01, 'SEO Implementation Checklist'!$B:$E, counta('SEO Implementation Checklist'!$B$2:$E$2), true))</f>
        <v/>
      </c>
      <c r="D903" s="135" t="s">
        <v>368</v>
      </c>
      <c r="E903" s="137" t="s">
        <v>369</v>
      </c>
      <c r="F903" s="138"/>
      <c r="G903" s="138"/>
      <c r="H903" s="139"/>
    </row>
    <row r="904" ht="15.75" customHeight="1">
      <c r="A904" s="133"/>
      <c r="B904" s="128"/>
      <c r="C904" s="134" t="str">
        <f>if(A904="", "", vlookup(A904+0.01, 'SEO Implementation Checklist'!$B:$E, counta('SEO Implementation Checklist'!$B$2:$E$2), true))</f>
        <v/>
      </c>
      <c r="D904" s="135" t="s">
        <v>368</v>
      </c>
      <c r="E904" s="137" t="s">
        <v>369</v>
      </c>
      <c r="F904" s="138"/>
      <c r="G904" s="138"/>
      <c r="H904" s="139"/>
    </row>
    <row r="905" ht="15.75" customHeight="1">
      <c r="A905" s="133"/>
      <c r="B905" s="128"/>
      <c r="C905" s="134" t="str">
        <f>if(A905="", "", vlookup(A905+0.01, 'SEO Implementation Checklist'!$B:$E, counta('SEO Implementation Checklist'!$B$2:$E$2), true))</f>
        <v/>
      </c>
      <c r="D905" s="135" t="s">
        <v>368</v>
      </c>
      <c r="E905" s="137" t="s">
        <v>369</v>
      </c>
      <c r="F905" s="138"/>
      <c r="G905" s="138"/>
      <c r="H905" s="139"/>
    </row>
    <row r="906" ht="15.75" customHeight="1">
      <c r="A906" s="133"/>
      <c r="B906" s="128"/>
      <c r="C906" s="134" t="str">
        <f>if(A906="", "", vlookup(A906+0.01, 'SEO Implementation Checklist'!$B:$E, counta('SEO Implementation Checklist'!$B$2:$E$2), true))</f>
        <v/>
      </c>
      <c r="D906" s="135" t="s">
        <v>368</v>
      </c>
      <c r="E906" s="137" t="s">
        <v>369</v>
      </c>
      <c r="F906" s="138"/>
      <c r="G906" s="138"/>
      <c r="H906" s="139"/>
    </row>
    <row r="907" ht="15.75" customHeight="1">
      <c r="A907" s="133"/>
      <c r="B907" s="128"/>
      <c r="C907" s="134" t="str">
        <f>if(A907="", "", vlookup(A907+0.01, 'SEO Implementation Checklist'!$B:$E, counta('SEO Implementation Checklist'!$B$2:$E$2), true))</f>
        <v/>
      </c>
      <c r="D907" s="135" t="s">
        <v>368</v>
      </c>
      <c r="E907" s="137" t="s">
        <v>369</v>
      </c>
      <c r="F907" s="138"/>
      <c r="G907" s="138"/>
      <c r="H907" s="139"/>
    </row>
    <row r="908" ht="15.75" customHeight="1">
      <c r="A908" s="133"/>
      <c r="B908" s="128"/>
      <c r="C908" s="134" t="str">
        <f>if(A908="", "", vlookup(A908+0.01, 'SEO Implementation Checklist'!$B:$E, counta('SEO Implementation Checklist'!$B$2:$E$2), true))</f>
        <v/>
      </c>
      <c r="D908" s="135" t="s">
        <v>368</v>
      </c>
      <c r="E908" s="137" t="s">
        <v>369</v>
      </c>
      <c r="F908" s="138"/>
      <c r="G908" s="138"/>
      <c r="H908" s="139"/>
    </row>
    <row r="909" ht="15.75" customHeight="1">
      <c r="A909" s="133"/>
      <c r="B909" s="128"/>
      <c r="C909" s="134" t="str">
        <f>if(A909="", "", vlookup(A909+0.01, 'SEO Implementation Checklist'!$B:$E, counta('SEO Implementation Checklist'!$B$2:$E$2), true))</f>
        <v/>
      </c>
      <c r="D909" s="135" t="s">
        <v>368</v>
      </c>
      <c r="E909" s="137" t="s">
        <v>369</v>
      </c>
      <c r="F909" s="138"/>
      <c r="G909" s="138"/>
      <c r="H909" s="139"/>
    </row>
    <row r="910" ht="15.75" customHeight="1">
      <c r="A910" s="133"/>
      <c r="B910" s="128"/>
      <c r="C910" s="134" t="str">
        <f>if(A910="", "", vlookup(A910+0.01, 'SEO Implementation Checklist'!$B:$E, counta('SEO Implementation Checklist'!$B$2:$E$2), true))</f>
        <v/>
      </c>
      <c r="D910" s="135" t="s">
        <v>368</v>
      </c>
      <c r="E910" s="137" t="s">
        <v>369</v>
      </c>
      <c r="F910" s="138"/>
      <c r="G910" s="138"/>
      <c r="H910" s="139"/>
    </row>
    <row r="911" ht="15.75" customHeight="1">
      <c r="A911" s="133"/>
      <c r="B911" s="128"/>
      <c r="C911" s="134" t="str">
        <f>if(A911="", "", vlookup(A911+0.01, 'SEO Implementation Checklist'!$B:$E, counta('SEO Implementation Checklist'!$B$2:$E$2), true))</f>
        <v/>
      </c>
      <c r="D911" s="135" t="s">
        <v>368</v>
      </c>
      <c r="E911" s="137" t="s">
        <v>369</v>
      </c>
      <c r="F911" s="138"/>
      <c r="G911" s="138"/>
      <c r="H911" s="139"/>
    </row>
    <row r="912" ht="15.75" customHeight="1">
      <c r="A912" s="133"/>
      <c r="B912" s="128"/>
      <c r="C912" s="134" t="str">
        <f>if(A912="", "", vlookup(A912+0.01, 'SEO Implementation Checklist'!$B:$E, counta('SEO Implementation Checklist'!$B$2:$E$2), true))</f>
        <v/>
      </c>
      <c r="D912" s="135" t="s">
        <v>368</v>
      </c>
      <c r="E912" s="137" t="s">
        <v>369</v>
      </c>
      <c r="F912" s="138"/>
      <c r="G912" s="138"/>
      <c r="H912" s="139"/>
    </row>
    <row r="913" ht="15.75" customHeight="1">
      <c r="A913" s="133"/>
      <c r="B913" s="128"/>
      <c r="C913" s="134" t="str">
        <f>if(A913="", "", vlookup(A913+0.01, 'SEO Implementation Checklist'!$B:$E, counta('SEO Implementation Checklist'!$B$2:$E$2), true))</f>
        <v/>
      </c>
      <c r="D913" s="135" t="s">
        <v>368</v>
      </c>
      <c r="E913" s="137" t="s">
        <v>369</v>
      </c>
      <c r="F913" s="138"/>
      <c r="G913" s="138"/>
      <c r="H913" s="139"/>
    </row>
    <row r="914" ht="15.75" customHeight="1">
      <c r="A914" s="133"/>
      <c r="B914" s="128"/>
      <c r="C914" s="134" t="str">
        <f>if(A914="", "", vlookup(A914+0.01, 'SEO Implementation Checklist'!$B:$E, counta('SEO Implementation Checklist'!$B$2:$E$2), true))</f>
        <v/>
      </c>
      <c r="D914" s="135" t="s">
        <v>368</v>
      </c>
      <c r="E914" s="137" t="s">
        <v>369</v>
      </c>
      <c r="F914" s="138"/>
      <c r="G914" s="138"/>
      <c r="H914" s="139"/>
    </row>
    <row r="915" ht="15.75" customHeight="1">
      <c r="A915" s="133"/>
      <c r="B915" s="128"/>
      <c r="C915" s="134" t="str">
        <f>if(A915="", "", vlookup(A915+0.01, 'SEO Implementation Checklist'!$B:$E, counta('SEO Implementation Checklist'!$B$2:$E$2), true))</f>
        <v/>
      </c>
      <c r="D915" s="135" t="s">
        <v>368</v>
      </c>
      <c r="E915" s="137" t="s">
        <v>369</v>
      </c>
      <c r="F915" s="138"/>
      <c r="G915" s="138"/>
      <c r="H915" s="139"/>
    </row>
    <row r="916" ht="15.75" customHeight="1">
      <c r="A916" s="133"/>
      <c r="B916" s="128"/>
      <c r="C916" s="134" t="str">
        <f>if(A916="", "", vlookup(A916+0.01, 'SEO Implementation Checklist'!$B:$E, counta('SEO Implementation Checklist'!$B$2:$E$2), true))</f>
        <v/>
      </c>
      <c r="D916" s="135" t="s">
        <v>368</v>
      </c>
      <c r="E916" s="137" t="s">
        <v>369</v>
      </c>
      <c r="F916" s="138"/>
      <c r="G916" s="138"/>
      <c r="H916" s="139"/>
    </row>
    <row r="917" ht="15.75" customHeight="1">
      <c r="A917" s="133"/>
      <c r="B917" s="128"/>
      <c r="C917" s="134" t="str">
        <f>if(A917="", "", vlookup(A917+0.01, 'SEO Implementation Checklist'!$B:$E, counta('SEO Implementation Checklist'!$B$2:$E$2), true))</f>
        <v/>
      </c>
      <c r="D917" s="135" t="s">
        <v>368</v>
      </c>
      <c r="E917" s="137" t="s">
        <v>369</v>
      </c>
      <c r="F917" s="138"/>
      <c r="G917" s="138"/>
      <c r="H917" s="139"/>
    </row>
    <row r="918" ht="15.75" customHeight="1">
      <c r="A918" s="133"/>
      <c r="B918" s="128"/>
      <c r="C918" s="134" t="str">
        <f>if(A918="", "", vlookup(A918+0.01, 'SEO Implementation Checklist'!$B:$E, counta('SEO Implementation Checklist'!$B$2:$E$2), true))</f>
        <v/>
      </c>
      <c r="D918" s="135" t="s">
        <v>368</v>
      </c>
      <c r="E918" s="137" t="s">
        <v>369</v>
      </c>
      <c r="F918" s="138"/>
      <c r="G918" s="138"/>
      <c r="H918" s="139"/>
    </row>
    <row r="919" ht="15.75" customHeight="1">
      <c r="A919" s="133"/>
      <c r="B919" s="128"/>
      <c r="C919" s="134" t="str">
        <f>if(A919="", "", vlookup(A919+0.01, 'SEO Implementation Checklist'!$B:$E, counta('SEO Implementation Checklist'!$B$2:$E$2), true))</f>
        <v/>
      </c>
      <c r="D919" s="135" t="s">
        <v>368</v>
      </c>
      <c r="E919" s="137" t="s">
        <v>369</v>
      </c>
      <c r="F919" s="138"/>
      <c r="G919" s="138"/>
      <c r="H919" s="139"/>
    </row>
    <row r="920" ht="15.75" customHeight="1">
      <c r="A920" s="133"/>
      <c r="B920" s="128"/>
      <c r="C920" s="134" t="str">
        <f>if(A920="", "", vlookup(A920+0.01, 'SEO Implementation Checklist'!$B:$E, counta('SEO Implementation Checklist'!$B$2:$E$2), true))</f>
        <v/>
      </c>
      <c r="D920" s="135" t="s">
        <v>368</v>
      </c>
      <c r="E920" s="137" t="s">
        <v>369</v>
      </c>
      <c r="F920" s="138"/>
      <c r="G920" s="138"/>
      <c r="H920" s="139"/>
    </row>
    <row r="921" ht="15.75" customHeight="1">
      <c r="A921" s="133"/>
      <c r="B921" s="128"/>
      <c r="C921" s="134" t="str">
        <f>if(A921="", "", vlookup(A921+0.01, 'SEO Implementation Checklist'!$B:$E, counta('SEO Implementation Checklist'!$B$2:$E$2), true))</f>
        <v/>
      </c>
      <c r="D921" s="135" t="s">
        <v>368</v>
      </c>
      <c r="E921" s="137" t="s">
        <v>369</v>
      </c>
      <c r="F921" s="138"/>
      <c r="G921" s="138"/>
      <c r="H921" s="139"/>
    </row>
    <row r="922" ht="15.75" customHeight="1">
      <c r="A922" s="133"/>
      <c r="B922" s="128"/>
      <c r="C922" s="134" t="str">
        <f>if(A922="", "", vlookup(A922+0.01, 'SEO Implementation Checklist'!$B:$E, counta('SEO Implementation Checklist'!$B$2:$E$2), true))</f>
        <v/>
      </c>
      <c r="D922" s="135" t="s">
        <v>368</v>
      </c>
      <c r="E922" s="137" t="s">
        <v>369</v>
      </c>
      <c r="F922" s="138"/>
      <c r="G922" s="138"/>
      <c r="H922" s="139"/>
    </row>
    <row r="923" ht="15.75" customHeight="1">
      <c r="A923" s="133"/>
      <c r="B923" s="128"/>
      <c r="C923" s="134" t="str">
        <f>if(A923="", "", vlookup(A923+0.01, 'SEO Implementation Checklist'!$B:$E, counta('SEO Implementation Checklist'!$B$2:$E$2), true))</f>
        <v/>
      </c>
      <c r="D923" s="135" t="s">
        <v>368</v>
      </c>
      <c r="E923" s="137" t="s">
        <v>369</v>
      </c>
      <c r="F923" s="138"/>
      <c r="G923" s="138"/>
      <c r="H923" s="139"/>
    </row>
    <row r="924" ht="15.75" customHeight="1">
      <c r="A924" s="133"/>
      <c r="B924" s="128"/>
      <c r="C924" s="134" t="str">
        <f>if(A924="", "", vlookup(A924+0.01, 'SEO Implementation Checklist'!$B:$E, counta('SEO Implementation Checklist'!$B$2:$E$2), true))</f>
        <v/>
      </c>
      <c r="D924" s="135" t="s">
        <v>368</v>
      </c>
      <c r="E924" s="137" t="s">
        <v>369</v>
      </c>
      <c r="F924" s="138"/>
      <c r="G924" s="138"/>
      <c r="H924" s="139"/>
    </row>
    <row r="925" ht="15.75" customHeight="1">
      <c r="A925" s="133"/>
      <c r="B925" s="128"/>
      <c r="C925" s="134" t="str">
        <f>if(A925="", "", vlookup(A925+0.01, 'SEO Implementation Checklist'!$B:$E, counta('SEO Implementation Checklist'!$B$2:$E$2), true))</f>
        <v/>
      </c>
      <c r="D925" s="135" t="s">
        <v>368</v>
      </c>
      <c r="E925" s="137" t="s">
        <v>369</v>
      </c>
      <c r="F925" s="138"/>
      <c r="G925" s="138"/>
      <c r="H925" s="139"/>
    </row>
    <row r="926" ht="15.75" customHeight="1">
      <c r="A926" s="133"/>
      <c r="B926" s="128"/>
      <c r="C926" s="134" t="str">
        <f>if(A926="", "", vlookup(A926+0.01, 'SEO Implementation Checklist'!$B:$E, counta('SEO Implementation Checklist'!$B$2:$E$2), true))</f>
        <v/>
      </c>
      <c r="D926" s="135" t="s">
        <v>368</v>
      </c>
      <c r="E926" s="137" t="s">
        <v>369</v>
      </c>
      <c r="F926" s="138"/>
      <c r="G926" s="138"/>
      <c r="H926" s="139"/>
    </row>
    <row r="927" ht="15.75" customHeight="1">
      <c r="A927" s="133"/>
      <c r="B927" s="128"/>
      <c r="C927" s="134" t="str">
        <f>if(A927="", "", vlookup(A927+0.01, 'SEO Implementation Checklist'!$B:$E, counta('SEO Implementation Checklist'!$B$2:$E$2), true))</f>
        <v/>
      </c>
      <c r="D927" s="135" t="s">
        <v>368</v>
      </c>
      <c r="E927" s="137" t="s">
        <v>369</v>
      </c>
      <c r="F927" s="138"/>
      <c r="G927" s="138"/>
      <c r="H927" s="139"/>
    </row>
    <row r="928" ht="15.75" customHeight="1">
      <c r="A928" s="133"/>
      <c r="B928" s="128"/>
      <c r="C928" s="134" t="str">
        <f>if(A928="", "", vlookup(A928+0.01, 'SEO Implementation Checklist'!$B:$E, counta('SEO Implementation Checklist'!$B$2:$E$2), true))</f>
        <v/>
      </c>
      <c r="D928" s="135" t="s">
        <v>368</v>
      </c>
      <c r="E928" s="137" t="s">
        <v>369</v>
      </c>
      <c r="F928" s="138"/>
      <c r="G928" s="138"/>
      <c r="H928" s="139"/>
    </row>
    <row r="929" ht="15.75" customHeight="1">
      <c r="A929" s="133"/>
      <c r="B929" s="128"/>
      <c r="C929" s="134" t="str">
        <f>if(A929="", "", vlookup(A929+0.01, 'SEO Implementation Checklist'!$B:$E, counta('SEO Implementation Checklist'!$B$2:$E$2), true))</f>
        <v/>
      </c>
      <c r="D929" s="135" t="s">
        <v>368</v>
      </c>
      <c r="E929" s="137" t="s">
        <v>369</v>
      </c>
      <c r="F929" s="138"/>
      <c r="G929" s="138"/>
      <c r="H929" s="139"/>
    </row>
    <row r="930" ht="15.75" customHeight="1">
      <c r="A930" s="133"/>
      <c r="B930" s="128"/>
      <c r="C930" s="134" t="str">
        <f>if(A930="", "", vlookup(A930+0.01, 'SEO Implementation Checklist'!$B:$E, counta('SEO Implementation Checklist'!$B$2:$E$2), true))</f>
        <v/>
      </c>
      <c r="D930" s="135" t="s">
        <v>368</v>
      </c>
      <c r="E930" s="137" t="s">
        <v>369</v>
      </c>
      <c r="F930" s="138"/>
      <c r="G930" s="138"/>
      <c r="H930" s="139"/>
    </row>
    <row r="931" ht="15.75" customHeight="1">
      <c r="A931" s="133"/>
      <c r="B931" s="128"/>
      <c r="C931" s="134" t="str">
        <f>if(A931="", "", vlookup(A931+0.01, 'SEO Implementation Checklist'!$B:$E, counta('SEO Implementation Checklist'!$B$2:$E$2), true))</f>
        <v/>
      </c>
      <c r="D931" s="135" t="s">
        <v>368</v>
      </c>
      <c r="E931" s="137" t="s">
        <v>369</v>
      </c>
      <c r="F931" s="138"/>
      <c r="G931" s="138"/>
      <c r="H931" s="139"/>
    </row>
    <row r="932" ht="15.75" customHeight="1">
      <c r="A932" s="133"/>
      <c r="B932" s="128"/>
      <c r="C932" s="134" t="str">
        <f>if(A932="", "", vlookup(A932+0.01, 'SEO Implementation Checklist'!$B:$E, counta('SEO Implementation Checklist'!$B$2:$E$2), true))</f>
        <v/>
      </c>
      <c r="D932" s="135" t="s">
        <v>368</v>
      </c>
      <c r="E932" s="137" t="s">
        <v>369</v>
      </c>
      <c r="F932" s="138"/>
      <c r="G932" s="138"/>
      <c r="H932" s="139"/>
    </row>
    <row r="933" ht="15.75" customHeight="1">
      <c r="A933" s="133"/>
      <c r="B933" s="128"/>
      <c r="C933" s="134" t="str">
        <f>if(A933="", "", vlookup(A933+0.01, 'SEO Implementation Checklist'!$B:$E, counta('SEO Implementation Checklist'!$B$2:$E$2), true))</f>
        <v/>
      </c>
      <c r="D933" s="135" t="s">
        <v>368</v>
      </c>
      <c r="E933" s="137" t="s">
        <v>369</v>
      </c>
      <c r="F933" s="138"/>
      <c r="G933" s="138"/>
      <c r="H933" s="139"/>
    </row>
    <row r="934" ht="15.75" customHeight="1">
      <c r="A934" s="133"/>
      <c r="B934" s="128"/>
      <c r="C934" s="134" t="str">
        <f>if(A934="", "", vlookup(A934+0.01, 'SEO Implementation Checklist'!$B:$E, counta('SEO Implementation Checklist'!$B$2:$E$2), true))</f>
        <v/>
      </c>
      <c r="D934" s="135" t="s">
        <v>368</v>
      </c>
      <c r="E934" s="137" t="s">
        <v>369</v>
      </c>
      <c r="F934" s="138"/>
      <c r="G934" s="138"/>
      <c r="H934" s="139"/>
    </row>
    <row r="935" ht="15.75" customHeight="1">
      <c r="A935" s="133"/>
      <c r="B935" s="128"/>
      <c r="C935" s="134" t="str">
        <f>if(A935="", "", vlookup(A935+0.01, 'SEO Implementation Checklist'!$B:$E, counta('SEO Implementation Checklist'!$B$2:$E$2), true))</f>
        <v/>
      </c>
      <c r="D935" s="135" t="s">
        <v>368</v>
      </c>
      <c r="E935" s="137" t="s">
        <v>369</v>
      </c>
      <c r="F935" s="138"/>
      <c r="G935" s="138"/>
      <c r="H935" s="139"/>
    </row>
    <row r="936" ht="15.75" customHeight="1">
      <c r="A936" s="133"/>
      <c r="B936" s="128"/>
      <c r="C936" s="134" t="str">
        <f>if(A936="", "", vlookup(A936+0.01, 'SEO Implementation Checklist'!$B:$E, counta('SEO Implementation Checklist'!$B$2:$E$2), true))</f>
        <v/>
      </c>
      <c r="D936" s="135" t="s">
        <v>368</v>
      </c>
      <c r="E936" s="137" t="s">
        <v>369</v>
      </c>
      <c r="F936" s="138"/>
      <c r="G936" s="138"/>
      <c r="H936" s="139"/>
    </row>
    <row r="937" ht="15.75" customHeight="1">
      <c r="A937" s="133"/>
      <c r="B937" s="128"/>
      <c r="C937" s="134" t="str">
        <f>if(A937="", "", vlookup(A937+0.01, 'SEO Implementation Checklist'!$B:$E, counta('SEO Implementation Checklist'!$B$2:$E$2), true))</f>
        <v/>
      </c>
      <c r="D937" s="135" t="s">
        <v>368</v>
      </c>
      <c r="E937" s="137" t="s">
        <v>369</v>
      </c>
      <c r="F937" s="138"/>
      <c r="G937" s="138"/>
      <c r="H937" s="139"/>
    </row>
    <row r="938" ht="15.75" customHeight="1">
      <c r="A938" s="133"/>
      <c r="B938" s="128"/>
      <c r="C938" s="134" t="str">
        <f>if(A938="", "", vlookup(A938+0.01, 'SEO Implementation Checklist'!$B:$E, counta('SEO Implementation Checklist'!$B$2:$E$2), true))</f>
        <v/>
      </c>
      <c r="D938" s="135" t="s">
        <v>368</v>
      </c>
      <c r="E938" s="137" t="s">
        <v>369</v>
      </c>
      <c r="F938" s="138"/>
      <c r="G938" s="138"/>
      <c r="H938" s="139"/>
    </row>
    <row r="939" ht="15.75" customHeight="1">
      <c r="A939" s="133"/>
      <c r="B939" s="128"/>
      <c r="C939" s="134" t="str">
        <f>if(A939="", "", vlookup(A939+0.01, 'SEO Implementation Checklist'!$B:$E, counta('SEO Implementation Checklist'!$B$2:$E$2), true))</f>
        <v/>
      </c>
      <c r="D939" s="135" t="s">
        <v>368</v>
      </c>
      <c r="E939" s="137" t="s">
        <v>369</v>
      </c>
      <c r="F939" s="138"/>
      <c r="G939" s="138"/>
      <c r="H939" s="139"/>
    </row>
    <row r="940" ht="15.75" customHeight="1">
      <c r="A940" s="133"/>
      <c r="B940" s="128"/>
      <c r="C940" s="134" t="str">
        <f>if(A940="", "", vlookup(A940+0.01, 'SEO Implementation Checklist'!$B:$E, counta('SEO Implementation Checklist'!$B$2:$E$2), true))</f>
        <v/>
      </c>
      <c r="D940" s="135" t="s">
        <v>368</v>
      </c>
      <c r="E940" s="137" t="s">
        <v>369</v>
      </c>
      <c r="F940" s="138"/>
      <c r="G940" s="138"/>
      <c r="H940" s="139"/>
    </row>
    <row r="941" ht="15.75" customHeight="1">
      <c r="A941" s="133"/>
      <c r="B941" s="128"/>
      <c r="C941" s="134" t="str">
        <f>if(A941="", "", vlookup(A941+0.01, 'SEO Implementation Checklist'!$B:$E, counta('SEO Implementation Checklist'!$B$2:$E$2), true))</f>
        <v/>
      </c>
      <c r="D941" s="135" t="s">
        <v>368</v>
      </c>
      <c r="E941" s="137" t="s">
        <v>369</v>
      </c>
      <c r="F941" s="138"/>
      <c r="G941" s="138"/>
      <c r="H941" s="139"/>
    </row>
    <row r="942" ht="15.75" customHeight="1">
      <c r="A942" s="133"/>
      <c r="B942" s="128"/>
      <c r="C942" s="134" t="str">
        <f>if(A942="", "", vlookup(A942+0.01, 'SEO Implementation Checklist'!$B:$E, counta('SEO Implementation Checklist'!$B$2:$E$2), true))</f>
        <v/>
      </c>
      <c r="D942" s="135" t="s">
        <v>368</v>
      </c>
      <c r="E942" s="137" t="s">
        <v>369</v>
      </c>
      <c r="F942" s="138"/>
      <c r="G942" s="138"/>
      <c r="H942" s="139"/>
    </row>
    <row r="943" ht="15.75" customHeight="1">
      <c r="A943" s="133"/>
      <c r="B943" s="128"/>
      <c r="C943" s="134" t="str">
        <f>if(A943="", "", vlookup(A943+0.01, 'SEO Implementation Checklist'!$B:$E, counta('SEO Implementation Checklist'!$B$2:$E$2), true))</f>
        <v/>
      </c>
      <c r="D943" s="135" t="s">
        <v>368</v>
      </c>
      <c r="E943" s="137" t="s">
        <v>369</v>
      </c>
      <c r="F943" s="138"/>
      <c r="G943" s="138"/>
      <c r="H943" s="139"/>
    </row>
    <row r="944" ht="15.75" customHeight="1">
      <c r="A944" s="133"/>
      <c r="B944" s="128"/>
      <c r="C944" s="134" t="str">
        <f>if(A944="", "", vlookup(A944+0.01, 'SEO Implementation Checklist'!$B:$E, counta('SEO Implementation Checklist'!$B$2:$E$2), true))</f>
        <v/>
      </c>
      <c r="D944" s="135" t="s">
        <v>368</v>
      </c>
      <c r="E944" s="137" t="s">
        <v>369</v>
      </c>
      <c r="F944" s="138"/>
      <c r="G944" s="138"/>
      <c r="H944" s="139"/>
    </row>
    <row r="945" ht="15.75" customHeight="1">
      <c r="A945" s="133"/>
      <c r="B945" s="128"/>
      <c r="C945" s="134" t="str">
        <f>if(A945="", "", vlookup(A945+0.01, 'SEO Implementation Checklist'!$B:$E, counta('SEO Implementation Checklist'!$B$2:$E$2), true))</f>
        <v/>
      </c>
      <c r="D945" s="135" t="s">
        <v>368</v>
      </c>
      <c r="E945" s="137" t="s">
        <v>369</v>
      </c>
      <c r="F945" s="138"/>
      <c r="G945" s="138"/>
      <c r="H945" s="139"/>
    </row>
    <row r="946" ht="15.75" customHeight="1">
      <c r="A946" s="133"/>
      <c r="B946" s="128"/>
      <c r="C946" s="134" t="str">
        <f>if(A946="", "", vlookup(A946+0.01, 'SEO Implementation Checklist'!$B:$E, counta('SEO Implementation Checklist'!$B$2:$E$2), true))</f>
        <v/>
      </c>
      <c r="D946" s="135" t="s">
        <v>368</v>
      </c>
      <c r="E946" s="137" t="s">
        <v>369</v>
      </c>
      <c r="F946" s="138"/>
      <c r="G946" s="138"/>
      <c r="H946" s="139"/>
    </row>
    <row r="947" ht="15.75" customHeight="1">
      <c r="A947" s="133"/>
      <c r="B947" s="128"/>
      <c r="C947" s="134" t="str">
        <f>if(A947="", "", vlookup(A947+0.01, 'SEO Implementation Checklist'!$B:$E, counta('SEO Implementation Checklist'!$B$2:$E$2), true))</f>
        <v/>
      </c>
      <c r="D947" s="135" t="s">
        <v>368</v>
      </c>
      <c r="E947" s="137" t="s">
        <v>369</v>
      </c>
      <c r="F947" s="138"/>
      <c r="G947" s="138"/>
      <c r="H947" s="139"/>
    </row>
    <row r="948" ht="15.75" customHeight="1">
      <c r="A948" s="133"/>
      <c r="B948" s="128"/>
      <c r="C948" s="134" t="str">
        <f>if(A948="", "", vlookup(A948+0.01, 'SEO Implementation Checklist'!$B:$E, counta('SEO Implementation Checklist'!$B$2:$E$2), true))</f>
        <v/>
      </c>
      <c r="D948" s="135" t="s">
        <v>368</v>
      </c>
      <c r="E948" s="137" t="s">
        <v>369</v>
      </c>
      <c r="F948" s="138"/>
      <c r="G948" s="138"/>
      <c r="H948" s="139"/>
    </row>
    <row r="949" ht="15.75" customHeight="1">
      <c r="A949" s="133"/>
      <c r="B949" s="128"/>
      <c r="C949" s="134" t="str">
        <f>if(A949="", "", vlookup(A949+0.01, 'SEO Implementation Checklist'!$B:$E, counta('SEO Implementation Checklist'!$B$2:$E$2), true))</f>
        <v/>
      </c>
      <c r="D949" s="135" t="s">
        <v>368</v>
      </c>
      <c r="E949" s="137" t="s">
        <v>369</v>
      </c>
      <c r="F949" s="138"/>
      <c r="G949" s="138"/>
      <c r="H949" s="139"/>
    </row>
    <row r="950" ht="15.75" customHeight="1">
      <c r="A950" s="133"/>
      <c r="B950" s="128"/>
      <c r="C950" s="134" t="str">
        <f>if(A950="", "", vlookup(A950+0.01, 'SEO Implementation Checklist'!$B:$E, counta('SEO Implementation Checklist'!$B$2:$E$2), true))</f>
        <v/>
      </c>
      <c r="D950" s="135" t="s">
        <v>368</v>
      </c>
      <c r="E950" s="137" t="s">
        <v>369</v>
      </c>
      <c r="F950" s="138"/>
      <c r="G950" s="138"/>
      <c r="H950" s="139"/>
    </row>
    <row r="951" ht="15.75" customHeight="1">
      <c r="A951" s="133"/>
      <c r="B951" s="128"/>
      <c r="C951" s="134" t="str">
        <f>if(A951="", "", vlookup(A951+0.01, 'SEO Implementation Checklist'!$B:$E, counta('SEO Implementation Checklist'!$B$2:$E$2), true))</f>
        <v/>
      </c>
      <c r="D951" s="135" t="s">
        <v>368</v>
      </c>
      <c r="E951" s="137" t="s">
        <v>369</v>
      </c>
      <c r="F951" s="138"/>
      <c r="G951" s="138"/>
      <c r="H951" s="139"/>
    </row>
    <row r="952" ht="15.75" customHeight="1">
      <c r="A952" s="133"/>
      <c r="B952" s="128"/>
      <c r="C952" s="134" t="str">
        <f>if(A952="", "", vlookup(A952+0.01, 'SEO Implementation Checklist'!$B:$E, counta('SEO Implementation Checklist'!$B$2:$E$2), true))</f>
        <v/>
      </c>
      <c r="D952" s="135" t="s">
        <v>368</v>
      </c>
      <c r="E952" s="137" t="s">
        <v>369</v>
      </c>
      <c r="F952" s="138"/>
      <c r="G952" s="138"/>
      <c r="H952" s="139"/>
    </row>
    <row r="953" ht="15.75" customHeight="1">
      <c r="A953" s="133"/>
      <c r="B953" s="128"/>
      <c r="C953" s="134" t="str">
        <f>if(A953="", "", vlookup(A953+0.01, 'SEO Implementation Checklist'!$B:$E, counta('SEO Implementation Checklist'!$B$2:$E$2), true))</f>
        <v/>
      </c>
      <c r="D953" s="135" t="s">
        <v>368</v>
      </c>
      <c r="E953" s="137" t="s">
        <v>369</v>
      </c>
      <c r="F953" s="138"/>
      <c r="G953" s="138"/>
      <c r="H953" s="139"/>
    </row>
    <row r="954" ht="15.75" customHeight="1">
      <c r="A954" s="133"/>
      <c r="B954" s="128"/>
      <c r="C954" s="134" t="str">
        <f>if(A954="", "", vlookup(A954+0.01, 'SEO Implementation Checklist'!$B:$E, counta('SEO Implementation Checklist'!$B$2:$E$2), true))</f>
        <v/>
      </c>
      <c r="D954" s="135" t="s">
        <v>368</v>
      </c>
      <c r="E954" s="137" t="s">
        <v>369</v>
      </c>
      <c r="F954" s="138"/>
      <c r="G954" s="138"/>
      <c r="H954" s="139"/>
    </row>
    <row r="955" ht="15.75" customHeight="1">
      <c r="A955" s="133"/>
      <c r="B955" s="128"/>
      <c r="C955" s="134" t="str">
        <f>if(A955="", "", vlookup(A955+0.01, 'SEO Implementation Checklist'!$B:$E, counta('SEO Implementation Checklist'!$B$2:$E$2), true))</f>
        <v/>
      </c>
      <c r="D955" s="135" t="s">
        <v>368</v>
      </c>
      <c r="E955" s="137" t="s">
        <v>369</v>
      </c>
      <c r="F955" s="138"/>
      <c r="G955" s="138"/>
      <c r="H955" s="139"/>
    </row>
    <row r="956" ht="15.75" customHeight="1">
      <c r="A956" s="133"/>
      <c r="B956" s="128"/>
      <c r="C956" s="134" t="str">
        <f>if(A956="", "", vlookup(A956+0.01, 'SEO Implementation Checklist'!$B:$E, counta('SEO Implementation Checklist'!$B$2:$E$2), true))</f>
        <v/>
      </c>
      <c r="D956" s="135" t="s">
        <v>368</v>
      </c>
      <c r="E956" s="137" t="s">
        <v>369</v>
      </c>
      <c r="F956" s="138"/>
      <c r="G956" s="138"/>
      <c r="H956" s="139"/>
    </row>
    <row r="957" ht="15.75" customHeight="1">
      <c r="A957" s="133"/>
      <c r="B957" s="128"/>
      <c r="C957" s="134" t="str">
        <f>if(A957="", "", vlookup(A957+0.01, 'SEO Implementation Checklist'!$B:$E, counta('SEO Implementation Checklist'!$B$2:$E$2), true))</f>
        <v/>
      </c>
      <c r="D957" s="135" t="s">
        <v>368</v>
      </c>
      <c r="E957" s="137" t="s">
        <v>369</v>
      </c>
      <c r="F957" s="138"/>
      <c r="G957" s="138"/>
      <c r="H957" s="139"/>
    </row>
    <row r="958" ht="15.75" customHeight="1">
      <c r="A958" s="133"/>
      <c r="B958" s="128"/>
      <c r="C958" s="134" t="str">
        <f>if(A958="", "", vlookup(A958+0.01, 'SEO Implementation Checklist'!$B:$E, counta('SEO Implementation Checklist'!$B$2:$E$2), true))</f>
        <v/>
      </c>
      <c r="D958" s="135" t="s">
        <v>368</v>
      </c>
      <c r="E958" s="137" t="s">
        <v>369</v>
      </c>
      <c r="F958" s="138"/>
      <c r="G958" s="138"/>
      <c r="H958" s="139"/>
    </row>
    <row r="959" ht="15.75" customHeight="1">
      <c r="A959" s="133"/>
      <c r="B959" s="128"/>
      <c r="C959" s="134" t="str">
        <f>if(A959="", "", vlookup(A959+0.01, 'SEO Implementation Checklist'!$B:$E, counta('SEO Implementation Checklist'!$B$2:$E$2), true))</f>
        <v/>
      </c>
      <c r="D959" s="135" t="s">
        <v>368</v>
      </c>
      <c r="E959" s="137" t="s">
        <v>369</v>
      </c>
      <c r="F959" s="138"/>
      <c r="G959" s="138"/>
      <c r="H959" s="139"/>
    </row>
    <row r="960" ht="15.75" customHeight="1">
      <c r="A960" s="133"/>
      <c r="B960" s="128"/>
      <c r="C960" s="134" t="str">
        <f>if(A960="", "", vlookup(A960+0.01, 'SEO Implementation Checklist'!$B:$E, counta('SEO Implementation Checklist'!$B$2:$E$2), true))</f>
        <v/>
      </c>
      <c r="D960" s="135" t="s">
        <v>368</v>
      </c>
      <c r="E960" s="137" t="s">
        <v>369</v>
      </c>
      <c r="F960" s="138"/>
      <c r="G960" s="138"/>
      <c r="H960" s="139"/>
    </row>
    <row r="961" ht="15.75" customHeight="1">
      <c r="A961" s="133"/>
      <c r="B961" s="128"/>
      <c r="C961" s="134" t="str">
        <f>if(A961="", "", vlookup(A961+0.01, 'SEO Implementation Checklist'!$B:$E, counta('SEO Implementation Checklist'!$B$2:$E$2), true))</f>
        <v/>
      </c>
      <c r="D961" s="135" t="s">
        <v>368</v>
      </c>
      <c r="E961" s="137" t="s">
        <v>369</v>
      </c>
      <c r="F961" s="138"/>
      <c r="G961" s="138"/>
      <c r="H961" s="139"/>
    </row>
    <row r="962" ht="15.75" customHeight="1">
      <c r="A962" s="133"/>
      <c r="B962" s="128"/>
      <c r="C962" s="134" t="str">
        <f>if(A962="", "", vlookup(A962+0.01, 'SEO Implementation Checklist'!$B:$E, counta('SEO Implementation Checklist'!$B$2:$E$2), true))</f>
        <v/>
      </c>
      <c r="D962" s="135" t="s">
        <v>368</v>
      </c>
      <c r="E962" s="137" t="s">
        <v>369</v>
      </c>
      <c r="F962" s="138"/>
      <c r="G962" s="138"/>
      <c r="H962" s="139"/>
    </row>
    <row r="963" ht="15.75" customHeight="1">
      <c r="A963" s="133"/>
      <c r="B963" s="128"/>
      <c r="C963" s="134" t="str">
        <f>if(A963="", "", vlookup(A963+0.01, 'SEO Implementation Checklist'!$B:$E, counta('SEO Implementation Checklist'!$B$2:$E$2), true))</f>
        <v/>
      </c>
      <c r="D963" s="135" t="s">
        <v>368</v>
      </c>
      <c r="E963" s="137" t="s">
        <v>369</v>
      </c>
      <c r="F963" s="138"/>
      <c r="G963" s="138"/>
      <c r="H963" s="139"/>
    </row>
    <row r="964" ht="15.75" customHeight="1">
      <c r="A964" s="133"/>
      <c r="B964" s="128"/>
      <c r="C964" s="134" t="str">
        <f>if(A964="", "", vlookup(A964+0.01, 'SEO Implementation Checklist'!$B:$E, counta('SEO Implementation Checklist'!$B$2:$E$2), true))</f>
        <v/>
      </c>
      <c r="D964" s="135" t="s">
        <v>368</v>
      </c>
      <c r="E964" s="137" t="s">
        <v>369</v>
      </c>
      <c r="F964" s="138"/>
      <c r="G964" s="138"/>
      <c r="H964" s="139"/>
    </row>
    <row r="965" ht="15.75" customHeight="1">
      <c r="A965" s="133"/>
      <c r="B965" s="128"/>
      <c r="C965" s="134" t="str">
        <f>if(A965="", "", vlookup(A965+0.01, 'SEO Implementation Checklist'!$B:$E, counta('SEO Implementation Checklist'!$B$2:$E$2), true))</f>
        <v/>
      </c>
      <c r="D965" s="135" t="s">
        <v>368</v>
      </c>
      <c r="E965" s="137" t="s">
        <v>369</v>
      </c>
      <c r="F965" s="138"/>
      <c r="G965" s="138"/>
      <c r="H965" s="139"/>
    </row>
    <row r="966" ht="15.75" customHeight="1">
      <c r="A966" s="133"/>
      <c r="B966" s="128"/>
      <c r="C966" s="134" t="str">
        <f>if(A966="", "", vlookup(A966+0.01, 'SEO Implementation Checklist'!$B:$E, counta('SEO Implementation Checklist'!$B$2:$E$2), true))</f>
        <v/>
      </c>
      <c r="D966" s="135" t="s">
        <v>368</v>
      </c>
      <c r="E966" s="137" t="s">
        <v>369</v>
      </c>
      <c r="F966" s="138"/>
      <c r="G966" s="138"/>
      <c r="H966" s="139"/>
    </row>
    <row r="967" ht="15.75" customHeight="1">
      <c r="A967" s="133"/>
      <c r="B967" s="128"/>
      <c r="C967" s="134" t="str">
        <f>if(A967="", "", vlookup(A967+0.01, 'SEO Implementation Checklist'!$B:$E, counta('SEO Implementation Checklist'!$B$2:$E$2), true))</f>
        <v/>
      </c>
      <c r="D967" s="135" t="s">
        <v>368</v>
      </c>
      <c r="E967" s="137" t="s">
        <v>369</v>
      </c>
      <c r="F967" s="138"/>
      <c r="G967" s="138"/>
      <c r="H967" s="139"/>
    </row>
    <row r="968" ht="15.75" customHeight="1">
      <c r="A968" s="133"/>
      <c r="B968" s="128"/>
      <c r="C968" s="134" t="str">
        <f>if(A968="", "", vlookup(A968+0.01, 'SEO Implementation Checklist'!$B:$E, counta('SEO Implementation Checklist'!$B$2:$E$2), true))</f>
        <v/>
      </c>
      <c r="D968" s="135" t="s">
        <v>368</v>
      </c>
      <c r="E968" s="137" t="s">
        <v>369</v>
      </c>
      <c r="F968" s="138"/>
      <c r="G968" s="138"/>
      <c r="H968" s="139"/>
    </row>
    <row r="969" ht="15.75" customHeight="1">
      <c r="A969" s="133"/>
      <c r="B969" s="128"/>
      <c r="C969" s="134" t="str">
        <f>if(A969="", "", vlookup(A969+0.01, 'SEO Implementation Checklist'!$B:$E, counta('SEO Implementation Checklist'!$B$2:$E$2), true))</f>
        <v/>
      </c>
      <c r="D969" s="135" t="s">
        <v>368</v>
      </c>
      <c r="E969" s="137" t="s">
        <v>369</v>
      </c>
      <c r="F969" s="138"/>
      <c r="G969" s="138"/>
      <c r="H969" s="139"/>
    </row>
    <row r="970" ht="15.75" customHeight="1">
      <c r="A970" s="133"/>
      <c r="B970" s="128"/>
      <c r="C970" s="134" t="str">
        <f>if(A970="", "", vlookup(A970+0.01, 'SEO Implementation Checklist'!$B:$E, counta('SEO Implementation Checklist'!$B$2:$E$2), true))</f>
        <v/>
      </c>
      <c r="D970" s="135" t="s">
        <v>368</v>
      </c>
      <c r="E970" s="137" t="s">
        <v>369</v>
      </c>
      <c r="F970" s="138"/>
      <c r="G970" s="138"/>
      <c r="H970" s="139"/>
    </row>
    <row r="971" ht="15.75" customHeight="1">
      <c r="A971" s="133"/>
      <c r="B971" s="128"/>
      <c r="C971" s="134" t="str">
        <f>if(A971="", "", vlookup(A971+0.01, 'SEO Implementation Checklist'!$B:$E, counta('SEO Implementation Checklist'!$B$2:$E$2), true))</f>
        <v/>
      </c>
      <c r="D971" s="135" t="s">
        <v>368</v>
      </c>
      <c r="E971" s="137" t="s">
        <v>369</v>
      </c>
      <c r="F971" s="138"/>
      <c r="G971" s="138"/>
      <c r="H971" s="139"/>
    </row>
    <row r="972" ht="15.75" customHeight="1">
      <c r="A972" s="133"/>
      <c r="B972" s="128"/>
      <c r="C972" s="134" t="str">
        <f>if(A972="", "", vlookup(A972+0.01, 'SEO Implementation Checklist'!$B:$E, counta('SEO Implementation Checklist'!$B$2:$E$2), true))</f>
        <v/>
      </c>
      <c r="D972" s="135" t="s">
        <v>368</v>
      </c>
      <c r="E972" s="137" t="s">
        <v>369</v>
      </c>
      <c r="F972" s="138"/>
      <c r="G972" s="138"/>
      <c r="H972" s="139"/>
    </row>
    <row r="973" ht="15.75" customHeight="1">
      <c r="A973" s="133"/>
      <c r="B973" s="128"/>
      <c r="C973" s="134" t="str">
        <f>if(A973="", "", vlookup(A973+0.01, 'SEO Implementation Checklist'!$B:$E, counta('SEO Implementation Checklist'!$B$2:$E$2), true))</f>
        <v/>
      </c>
      <c r="D973" s="135" t="s">
        <v>368</v>
      </c>
      <c r="E973" s="137" t="s">
        <v>369</v>
      </c>
      <c r="F973" s="138"/>
      <c r="G973" s="138"/>
      <c r="H973" s="139"/>
    </row>
    <row r="974" ht="15.75" customHeight="1">
      <c r="A974" s="133"/>
      <c r="B974" s="128"/>
      <c r="C974" s="134" t="str">
        <f>if(A974="", "", vlookup(A974+0.01, 'SEO Implementation Checklist'!$B:$E, counta('SEO Implementation Checklist'!$B$2:$E$2), true))</f>
        <v/>
      </c>
      <c r="D974" s="135" t="s">
        <v>368</v>
      </c>
      <c r="E974" s="137" t="s">
        <v>369</v>
      </c>
      <c r="F974" s="138"/>
      <c r="G974" s="138"/>
      <c r="H974" s="139"/>
    </row>
    <row r="975" ht="15.75" customHeight="1">
      <c r="A975" s="133"/>
      <c r="B975" s="128"/>
      <c r="C975" s="134" t="str">
        <f>if(A975="", "", vlookup(A975+0.01, 'SEO Implementation Checklist'!$B:$E, counta('SEO Implementation Checklist'!$B$2:$E$2), true))</f>
        <v/>
      </c>
      <c r="D975" s="135" t="s">
        <v>368</v>
      </c>
      <c r="E975" s="137" t="s">
        <v>369</v>
      </c>
      <c r="F975" s="138"/>
      <c r="G975" s="138"/>
      <c r="H975" s="139"/>
    </row>
    <row r="976" ht="15.75" customHeight="1">
      <c r="A976" s="133"/>
      <c r="B976" s="128"/>
      <c r="C976" s="134" t="str">
        <f>if(A976="", "", vlookup(A976+0.01, 'SEO Implementation Checklist'!$B:$E, counta('SEO Implementation Checklist'!$B$2:$E$2), true))</f>
        <v/>
      </c>
      <c r="D976" s="135" t="s">
        <v>368</v>
      </c>
      <c r="E976" s="137" t="s">
        <v>369</v>
      </c>
      <c r="F976" s="138"/>
      <c r="G976" s="138"/>
      <c r="H976" s="139"/>
    </row>
    <row r="977" ht="15.75" customHeight="1">
      <c r="A977" s="133"/>
      <c r="B977" s="128"/>
      <c r="C977" s="134" t="str">
        <f>if(A977="", "", vlookup(A977+0.01, 'SEO Implementation Checklist'!$B:$E, counta('SEO Implementation Checklist'!$B$2:$E$2), true))</f>
        <v/>
      </c>
      <c r="D977" s="135" t="s">
        <v>368</v>
      </c>
      <c r="E977" s="137" t="s">
        <v>369</v>
      </c>
      <c r="F977" s="138"/>
      <c r="G977" s="138"/>
      <c r="H977" s="139"/>
    </row>
    <row r="978" ht="15.75" customHeight="1">
      <c r="A978" s="133"/>
      <c r="B978" s="128"/>
      <c r="C978" s="134" t="str">
        <f>if(A978="", "", vlookup(A978+0.01, 'SEO Implementation Checklist'!$B:$E, counta('SEO Implementation Checklist'!$B$2:$E$2), true))</f>
        <v/>
      </c>
      <c r="D978" s="135" t="s">
        <v>368</v>
      </c>
      <c r="E978" s="137" t="s">
        <v>369</v>
      </c>
      <c r="F978" s="138"/>
      <c r="G978" s="138"/>
      <c r="H978" s="139"/>
    </row>
    <row r="979" ht="15.75" customHeight="1">
      <c r="A979" s="133"/>
      <c r="B979" s="128"/>
      <c r="C979" s="134" t="str">
        <f>if(A979="", "", vlookup(A979+0.01, 'SEO Implementation Checklist'!$B:$E, counta('SEO Implementation Checklist'!$B$2:$E$2), true))</f>
        <v/>
      </c>
      <c r="D979" s="135" t="s">
        <v>368</v>
      </c>
      <c r="E979" s="137" t="s">
        <v>369</v>
      </c>
      <c r="F979" s="138"/>
      <c r="G979" s="138"/>
      <c r="H979" s="139"/>
    </row>
    <row r="980" ht="15.75" customHeight="1">
      <c r="A980" s="133"/>
      <c r="B980" s="128"/>
      <c r="C980" s="134" t="str">
        <f>if(A980="", "", vlookup(A980+0.01, 'SEO Implementation Checklist'!$B:$E, counta('SEO Implementation Checklist'!$B$2:$E$2), true))</f>
        <v/>
      </c>
      <c r="D980" s="135" t="s">
        <v>368</v>
      </c>
      <c r="E980" s="137" t="s">
        <v>369</v>
      </c>
      <c r="F980" s="138"/>
      <c r="G980" s="138"/>
      <c r="H980" s="139"/>
    </row>
    <row r="981" ht="15.75" customHeight="1">
      <c r="A981" s="133"/>
      <c r="B981" s="128"/>
      <c r="C981" s="134" t="str">
        <f>if(A981="", "", vlookup(A981+0.01, 'SEO Implementation Checklist'!$B:$E, counta('SEO Implementation Checklist'!$B$2:$E$2), true))</f>
        <v/>
      </c>
      <c r="D981" s="135" t="s">
        <v>368</v>
      </c>
      <c r="E981" s="137" t="s">
        <v>369</v>
      </c>
      <c r="F981" s="138"/>
      <c r="G981" s="138"/>
      <c r="H981" s="139"/>
    </row>
    <row r="982" ht="15.75" customHeight="1">
      <c r="A982" s="133"/>
      <c r="B982" s="128"/>
      <c r="C982" s="134" t="str">
        <f>if(A982="", "", vlookup(A982+0.01, 'SEO Implementation Checklist'!$B:$E, counta('SEO Implementation Checklist'!$B$2:$E$2), true))</f>
        <v/>
      </c>
      <c r="D982" s="135" t="s">
        <v>368</v>
      </c>
      <c r="E982" s="137" t="s">
        <v>369</v>
      </c>
      <c r="F982" s="138"/>
      <c r="G982" s="138"/>
      <c r="H982" s="139"/>
    </row>
    <row r="983" ht="15.75" customHeight="1">
      <c r="A983" s="133"/>
      <c r="B983" s="128"/>
      <c r="C983" s="134" t="str">
        <f>if(A983="", "", vlookup(A983+0.01, 'SEO Implementation Checklist'!$B:$E, counta('SEO Implementation Checklist'!$B$2:$E$2), true))</f>
        <v/>
      </c>
      <c r="D983" s="135" t="s">
        <v>368</v>
      </c>
      <c r="E983" s="137" t="s">
        <v>369</v>
      </c>
      <c r="F983" s="138"/>
      <c r="G983" s="138"/>
      <c r="H983" s="139"/>
    </row>
    <row r="984" ht="15.75" customHeight="1">
      <c r="A984" s="133"/>
      <c r="B984" s="128"/>
      <c r="C984" s="134" t="str">
        <f>if(A984="", "", vlookup(A984+0.01, 'SEO Implementation Checklist'!$B:$E, counta('SEO Implementation Checklist'!$B$2:$E$2), true))</f>
        <v/>
      </c>
      <c r="D984" s="135" t="s">
        <v>368</v>
      </c>
      <c r="E984" s="137" t="s">
        <v>369</v>
      </c>
      <c r="F984" s="138"/>
      <c r="G984" s="138"/>
      <c r="H984" s="139"/>
    </row>
    <row r="985" ht="15.75" customHeight="1">
      <c r="A985" s="133"/>
      <c r="B985" s="128"/>
      <c r="C985" s="134" t="str">
        <f>if(A985="", "", vlookup(A985+0.01, 'SEO Implementation Checklist'!$B:$E, counta('SEO Implementation Checklist'!$B$2:$E$2), true))</f>
        <v/>
      </c>
      <c r="D985" s="135" t="s">
        <v>368</v>
      </c>
      <c r="E985" s="137" t="s">
        <v>369</v>
      </c>
      <c r="F985" s="138"/>
      <c r="G985" s="138"/>
      <c r="H985" s="139"/>
    </row>
    <row r="986" ht="15.75" customHeight="1">
      <c r="A986" s="133"/>
      <c r="B986" s="128"/>
      <c r="C986" s="134" t="str">
        <f>if(A986="", "", vlookup(A986+0.01, 'SEO Implementation Checklist'!$B:$E, counta('SEO Implementation Checklist'!$B$2:$E$2), true))</f>
        <v/>
      </c>
      <c r="D986" s="135" t="s">
        <v>368</v>
      </c>
      <c r="E986" s="137" t="s">
        <v>369</v>
      </c>
      <c r="F986" s="138"/>
      <c r="G986" s="138"/>
      <c r="H986" s="139"/>
    </row>
    <row r="987" ht="15.75" customHeight="1">
      <c r="A987" s="133"/>
      <c r="B987" s="128"/>
      <c r="C987" s="134" t="str">
        <f>if(A987="", "", vlookup(A987+0.01, 'SEO Implementation Checklist'!$B:$E, counta('SEO Implementation Checklist'!$B$2:$E$2), true))</f>
        <v/>
      </c>
      <c r="D987" s="135" t="s">
        <v>368</v>
      </c>
      <c r="E987" s="137" t="s">
        <v>369</v>
      </c>
      <c r="F987" s="138"/>
      <c r="G987" s="138"/>
      <c r="H987" s="139"/>
    </row>
    <row r="988" ht="15.75" customHeight="1">
      <c r="A988" s="133"/>
      <c r="B988" s="128"/>
      <c r="C988" s="134" t="str">
        <f>if(A988="", "", vlookup(A988+0.01, 'SEO Implementation Checklist'!$B:$E, counta('SEO Implementation Checklist'!$B$2:$E$2), true))</f>
        <v/>
      </c>
      <c r="D988" s="135" t="s">
        <v>368</v>
      </c>
      <c r="E988" s="137" t="s">
        <v>369</v>
      </c>
      <c r="F988" s="138"/>
      <c r="G988" s="138"/>
      <c r="H988" s="139"/>
    </row>
    <row r="989" ht="15.75" customHeight="1">
      <c r="A989" s="133"/>
      <c r="B989" s="128"/>
      <c r="C989" s="134" t="str">
        <f>if(A989="", "", vlookup(A989+0.01, 'SEO Implementation Checklist'!$B:$E, counta('SEO Implementation Checklist'!$B$2:$E$2), true))</f>
        <v/>
      </c>
      <c r="D989" s="135" t="s">
        <v>368</v>
      </c>
      <c r="E989" s="137" t="s">
        <v>369</v>
      </c>
      <c r="F989" s="138"/>
      <c r="G989" s="138"/>
      <c r="H989" s="139"/>
    </row>
    <row r="990" ht="15.75" customHeight="1">
      <c r="A990" s="133"/>
      <c r="B990" s="128"/>
      <c r="C990" s="134" t="str">
        <f>if(A990="", "", vlookup(A990+0.01, 'SEO Implementation Checklist'!$B:$E, counta('SEO Implementation Checklist'!$B$2:$E$2), true))</f>
        <v/>
      </c>
      <c r="D990" s="135" t="s">
        <v>368</v>
      </c>
      <c r="E990" s="137" t="s">
        <v>369</v>
      </c>
      <c r="F990" s="138"/>
      <c r="G990" s="138"/>
      <c r="H990" s="139"/>
    </row>
    <row r="991" ht="15.75" customHeight="1">
      <c r="A991" s="133"/>
      <c r="B991" s="128"/>
      <c r="C991" s="134" t="str">
        <f>if(A991="", "", vlookup(A991+0.01, 'SEO Implementation Checklist'!$B:$E, counta('SEO Implementation Checklist'!$B$2:$E$2), true))</f>
        <v/>
      </c>
      <c r="D991" s="135" t="s">
        <v>368</v>
      </c>
      <c r="E991" s="137" t="s">
        <v>369</v>
      </c>
      <c r="F991" s="138"/>
      <c r="G991" s="138"/>
      <c r="H991" s="139"/>
    </row>
    <row r="992" ht="15.75" customHeight="1">
      <c r="A992" s="133"/>
      <c r="B992" s="128"/>
      <c r="C992" s="134" t="str">
        <f>if(A992="", "", vlookup(A992+0.01, 'SEO Implementation Checklist'!$B:$E, counta('SEO Implementation Checklist'!$B$2:$E$2), true))</f>
        <v/>
      </c>
      <c r="D992" s="135" t="s">
        <v>368</v>
      </c>
      <c r="E992" s="137" t="s">
        <v>369</v>
      </c>
      <c r="F992" s="138"/>
      <c r="G992" s="138"/>
      <c r="H992" s="139"/>
    </row>
    <row r="993" ht="15.75" customHeight="1">
      <c r="A993" s="133"/>
      <c r="B993" s="128"/>
      <c r="C993" s="134" t="str">
        <f>if(A993="", "", vlookup(A993+0.01, 'SEO Implementation Checklist'!$B:$E, counta('SEO Implementation Checklist'!$B$2:$E$2), true))</f>
        <v/>
      </c>
      <c r="D993" s="135" t="s">
        <v>368</v>
      </c>
      <c r="E993" s="137" t="s">
        <v>369</v>
      </c>
      <c r="F993" s="138"/>
      <c r="G993" s="138"/>
      <c r="H993" s="139"/>
    </row>
    <row r="994" ht="15.75" customHeight="1">
      <c r="A994" s="133"/>
      <c r="B994" s="128"/>
      <c r="C994" s="134" t="str">
        <f>if(A994="", "", vlookup(A994+0.01, 'SEO Implementation Checklist'!$B:$E, counta('SEO Implementation Checklist'!$B$2:$E$2), true))</f>
        <v/>
      </c>
      <c r="D994" s="135" t="s">
        <v>368</v>
      </c>
      <c r="E994" s="137" t="s">
        <v>369</v>
      </c>
      <c r="F994" s="138"/>
      <c r="G994" s="138"/>
      <c r="H994" s="139"/>
    </row>
    <row r="995" ht="15.75" customHeight="1">
      <c r="A995" s="133"/>
      <c r="B995" s="128"/>
      <c r="C995" s="134" t="str">
        <f>if(A995="", "", vlookup(A995+0.01, 'SEO Implementation Checklist'!$B:$E, counta('SEO Implementation Checklist'!$B$2:$E$2), true))</f>
        <v/>
      </c>
      <c r="D995" s="135" t="s">
        <v>368</v>
      </c>
      <c r="E995" s="137" t="s">
        <v>369</v>
      </c>
      <c r="F995" s="138"/>
      <c r="G995" s="138"/>
      <c r="H995" s="139"/>
    </row>
    <row r="996" ht="15.75" customHeight="1">
      <c r="A996" s="133"/>
      <c r="B996" s="128"/>
      <c r="C996" s="134" t="str">
        <f>if(A996="", "", vlookup(A996+0.01, 'SEO Implementation Checklist'!$B:$E, counta('SEO Implementation Checklist'!$B$2:$E$2), true))</f>
        <v/>
      </c>
      <c r="D996" s="135" t="s">
        <v>368</v>
      </c>
      <c r="E996" s="137" t="s">
        <v>369</v>
      </c>
      <c r="F996" s="138"/>
      <c r="G996" s="138"/>
      <c r="H996" s="139"/>
    </row>
    <row r="997" ht="15.75" customHeight="1">
      <c r="A997" s="133"/>
      <c r="B997" s="128"/>
      <c r="C997" s="134" t="str">
        <f>if(A997="", "", vlookup(A997+0.01, 'SEO Implementation Checklist'!$B:$E, counta('SEO Implementation Checklist'!$B$2:$E$2), true))</f>
        <v/>
      </c>
      <c r="D997" s="135" t="s">
        <v>368</v>
      </c>
      <c r="E997" s="137" t="s">
        <v>369</v>
      </c>
      <c r="F997" s="138"/>
      <c r="G997" s="138"/>
      <c r="H997" s="139"/>
    </row>
    <row r="998" ht="15.75" customHeight="1"/>
    <row r="999" ht="15.75" customHeight="1"/>
    <row r="1000" ht="15.75" customHeight="1"/>
  </sheetData>
  <conditionalFormatting sqref="E2:E997">
    <cfRule type="cellIs" dxfId="11" priority="1" operator="equal">
      <formula>"LOW"</formula>
    </cfRule>
  </conditionalFormatting>
  <conditionalFormatting sqref="E2:E997">
    <cfRule type="cellIs" dxfId="1" priority="2" operator="equal">
      <formula>"MEDIUM"</formula>
    </cfRule>
  </conditionalFormatting>
  <conditionalFormatting sqref="E2:E997">
    <cfRule type="cellIs" dxfId="2" priority="3" operator="equal">
      <formula>"HIGH"</formula>
    </cfRule>
  </conditionalFormatting>
  <dataValidations>
    <dataValidation type="list" allowBlank="1" showErrorMessage="1" sqref="E2:E997">
      <formula1>"N/A,LOW,MEDIUM,HIGH"</formula1>
    </dataValidation>
    <dataValidation type="list" allowBlank="1" sqref="D2:D997">
      <formula1>"Client,First Page,First Page &amp; Client"</formula1>
    </dataValidation>
  </dataValidations>
  <hyperlinks>
    <hyperlink display="35. Content Optimisation for GEO" location="'35. Content Optimisation for GE'!A1" ref="C2"/>
    <hyperlink display="23. Rich Snippets" location="'23. Rich Snippets (GEO)'!A1" ref="C3"/>
    <hyperlink display="23. Rich Snippets" location="'23. Rich Snippets (GEO)'!A1" ref="C4"/>
  </hyperlinks>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38"/>
    <col customWidth="1" min="2" max="2" width="32.13"/>
    <col customWidth="1" min="3" max="3" width="51.25"/>
    <col customWidth="1" min="4" max="4" width="63.13"/>
  </cols>
  <sheetData>
    <row r="1" ht="17.25" customHeight="1">
      <c r="A1" s="140" t="s">
        <v>370</v>
      </c>
      <c r="B1" s="141" t="s">
        <v>371</v>
      </c>
    </row>
    <row r="2" ht="18.0" customHeight="1">
      <c r="A2" s="140" t="s">
        <v>372</v>
      </c>
    </row>
    <row r="3" ht="14.25" customHeight="1">
      <c r="A3" s="142" t="s">
        <v>373</v>
      </c>
    </row>
    <row r="4">
      <c r="A4" s="143" t="s">
        <v>374</v>
      </c>
      <c r="B4" s="143" t="s">
        <v>375</v>
      </c>
      <c r="C4" s="143" t="s">
        <v>376</v>
      </c>
      <c r="D4" s="143" t="s">
        <v>377</v>
      </c>
    </row>
    <row r="5" ht="351.75" customHeight="1">
      <c r="A5" s="144"/>
      <c r="B5" s="145"/>
      <c r="C5" s="146"/>
      <c r="D5" s="147"/>
    </row>
    <row r="6">
      <c r="A6" s="46"/>
      <c r="B6" s="148"/>
      <c r="C6" s="46"/>
    </row>
  </sheetData>
  <mergeCells count="1">
    <mergeCell ref="B1:D3"/>
  </mergeCells>
  <hyperlinks>
    <hyperlink display="Implementation Checklist" location="null!A1" ref="A1"/>
    <hyperlink r:id="rId1" location="heading=h.z4vb7phw9k1f" ref="B1"/>
    <hyperlink display="Priorities &amp; Status" location="null!A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75"/>
    <col customWidth="1" min="3" max="3" width="58.25"/>
    <col customWidth="1" min="4" max="4" width="40.13"/>
    <col customWidth="1" min="5" max="6" width="12.63"/>
  </cols>
  <sheetData>
    <row r="1">
      <c r="A1" s="140" t="s">
        <v>370</v>
      </c>
      <c r="B1" s="149"/>
      <c r="C1" s="150"/>
      <c r="D1" s="150"/>
    </row>
    <row r="2">
      <c r="A2" s="140" t="s">
        <v>372</v>
      </c>
      <c r="B2" s="150"/>
      <c r="C2" s="150"/>
      <c r="D2" s="150"/>
    </row>
    <row r="3">
      <c r="A3" s="143" t="s">
        <v>378</v>
      </c>
      <c r="B3" s="143" t="s">
        <v>379</v>
      </c>
      <c r="C3" s="151" t="s">
        <v>380</v>
      </c>
      <c r="D3" s="152" t="s">
        <v>381</v>
      </c>
    </row>
    <row r="4">
      <c r="A4" s="153"/>
      <c r="B4" s="154"/>
      <c r="C4" s="154"/>
      <c r="D4" s="154"/>
    </row>
    <row r="5">
      <c r="A5" s="155"/>
    </row>
    <row r="6">
      <c r="A6" s="155"/>
      <c r="C6" s="154"/>
      <c r="D6" s="154"/>
    </row>
    <row r="7">
      <c r="A7" s="155"/>
    </row>
    <row r="8">
      <c r="A8" s="155"/>
      <c r="C8" s="156"/>
      <c r="D8" s="157"/>
    </row>
    <row r="9">
      <c r="A9" s="155"/>
    </row>
    <row r="10" ht="48.0" customHeight="1">
      <c r="A10" s="158"/>
      <c r="B10" s="157"/>
      <c r="C10" s="156"/>
      <c r="D10" s="1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4:B9"/>
    <mergeCell ref="C4:C5"/>
    <mergeCell ref="D4:D5"/>
    <mergeCell ref="C6:C7"/>
    <mergeCell ref="D6:D7"/>
    <mergeCell ref="C8:C9"/>
    <mergeCell ref="D8:D9"/>
  </mergeCells>
  <hyperlinks>
    <hyperlink display="Implementation Checklist" location="'SEO Implementation Checklist'!A1" ref="A1"/>
    <hyperlink display="Priorities &amp; Status" location="'Priorities &amp; Status'!A1" ref="A2"/>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0"/>
    <col customWidth="1" min="2" max="2" width="52.75"/>
    <col customWidth="1" min="3" max="3" width="26.63"/>
    <col customWidth="1" min="4" max="4" width="55.75"/>
    <col customWidth="1" min="5" max="5" width="49.5"/>
    <col customWidth="1" min="6" max="6" width="50.88"/>
  </cols>
  <sheetData>
    <row r="1">
      <c r="A1" s="140" t="s">
        <v>370</v>
      </c>
      <c r="B1" s="159" t="s">
        <v>371</v>
      </c>
      <c r="F1" s="160"/>
    </row>
    <row r="2">
      <c r="A2" s="140" t="s">
        <v>372</v>
      </c>
      <c r="F2" s="160"/>
    </row>
    <row r="3">
      <c r="A3" s="143" t="s">
        <v>382</v>
      </c>
      <c r="B3" s="143" t="s">
        <v>383</v>
      </c>
      <c r="C3" s="143" t="s">
        <v>384</v>
      </c>
      <c r="D3" s="143" t="s">
        <v>379</v>
      </c>
      <c r="E3" s="143" t="s">
        <v>377</v>
      </c>
      <c r="F3" s="143" t="s">
        <v>385</v>
      </c>
    </row>
    <row r="4">
      <c r="A4" s="161"/>
      <c r="B4" s="162"/>
      <c r="C4" s="163"/>
      <c r="D4" s="164"/>
      <c r="F4" s="29"/>
    </row>
    <row r="5">
      <c r="A5" s="161"/>
      <c r="C5" s="163"/>
      <c r="F5" s="29"/>
    </row>
    <row r="6">
      <c r="A6" s="161"/>
      <c r="C6" s="163"/>
      <c r="F6" s="29"/>
    </row>
    <row r="7">
      <c r="A7" s="161"/>
      <c r="C7" s="163"/>
      <c r="F7"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E2"/>
    <mergeCell ref="B4:B33"/>
    <mergeCell ref="D4:D33"/>
  </mergeCells>
  <hyperlinks>
    <hyperlink display="Implementation Checklist" location="'SEO Implementation Checklist'!A1" ref="A1"/>
    <hyperlink r:id="rId1" location="heading=h.mw5r4nijsi68" ref="B1"/>
    <hyperlink display="Priorities &amp; Status" location="'Priorities &amp; Status'!A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2.88"/>
    <col customWidth="1" min="3" max="3" width="59.5"/>
    <col customWidth="1" min="4" max="4" width="66.5"/>
    <col customWidth="1" min="5" max="6" width="12.63"/>
  </cols>
  <sheetData>
    <row r="1">
      <c r="A1" s="140" t="s">
        <v>370</v>
      </c>
      <c r="B1" s="159" t="s">
        <v>371</v>
      </c>
    </row>
    <row r="2">
      <c r="A2" s="140" t="s">
        <v>372</v>
      </c>
    </row>
    <row r="3">
      <c r="A3" s="143" t="s">
        <v>386</v>
      </c>
      <c r="B3" s="143" t="s">
        <v>387</v>
      </c>
      <c r="C3" s="143" t="s">
        <v>388</v>
      </c>
      <c r="D3" s="143" t="s">
        <v>389</v>
      </c>
    </row>
    <row r="4" ht="196.5" customHeight="1">
      <c r="A4" s="121"/>
      <c r="C4" s="29"/>
      <c r="D4" s="121"/>
    </row>
    <row r="5">
      <c r="A5" s="121"/>
      <c r="B5" s="121"/>
      <c r="C5" s="121"/>
      <c r="D5" s="1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Implementation Checklist" location="'SEO Implementation Checklist'!A1" ref="A1"/>
    <hyperlink r:id="rId1" location="heading=h.jdjq53iqums3" ref="B1"/>
    <hyperlink display="Priorities &amp; Status" location="'Priorities &amp; Status'!A1" ref="A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75"/>
    <col customWidth="1" min="2" max="2" width="50.25"/>
    <col customWidth="1" min="3" max="3" width="68.0"/>
    <col customWidth="1" min="4" max="6" width="12.63"/>
  </cols>
  <sheetData>
    <row r="1">
      <c r="A1" s="140" t="s">
        <v>370</v>
      </c>
      <c r="B1" s="159" t="s">
        <v>390</v>
      </c>
    </row>
    <row r="2">
      <c r="A2" s="140" t="s">
        <v>372</v>
      </c>
    </row>
    <row r="3">
      <c r="A3" s="143" t="s">
        <v>378</v>
      </c>
      <c r="B3" s="143" t="s">
        <v>379</v>
      </c>
      <c r="C3" s="143" t="s">
        <v>377</v>
      </c>
    </row>
    <row r="4">
      <c r="B4" s="1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C2"/>
    <mergeCell ref="B4:B6"/>
  </mergeCells>
  <hyperlinks>
    <hyperlink display="Implementation Checklist" location="'SEO Implementation Checklist'!A1" ref="A1"/>
    <hyperlink r:id="rId1" location="heading=h.f5s7o1spimq9" ref="B1"/>
    <hyperlink display="Priorities &amp; Status" location="'Priorities &amp; Status'!A1" ref="A2"/>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75"/>
    <col customWidth="1" min="2" max="2" width="36.63"/>
    <col customWidth="1" min="3" max="3" width="51.75"/>
    <col customWidth="1" min="4" max="4" width="50.75"/>
    <col customWidth="1" min="5" max="5" width="70.5"/>
    <col customWidth="1" min="6" max="6" width="12.63"/>
  </cols>
  <sheetData>
    <row r="1">
      <c r="A1" s="140" t="s">
        <v>370</v>
      </c>
      <c r="B1" s="159" t="s">
        <v>371</v>
      </c>
      <c r="E1" s="150"/>
    </row>
    <row r="2">
      <c r="A2" s="140" t="s">
        <v>372</v>
      </c>
      <c r="E2" s="150"/>
    </row>
    <row r="3">
      <c r="A3" s="143" t="s">
        <v>378</v>
      </c>
      <c r="B3" s="143" t="s">
        <v>379</v>
      </c>
      <c r="C3" s="143" t="s">
        <v>391</v>
      </c>
      <c r="D3" s="143" t="s">
        <v>388</v>
      </c>
      <c r="E3" s="143" t="s">
        <v>377</v>
      </c>
    </row>
    <row r="4">
      <c r="A4" s="165"/>
      <c r="B4" s="154"/>
      <c r="C4" s="165"/>
      <c r="D4" s="165"/>
    </row>
    <row r="5">
      <c r="A5" s="121"/>
      <c r="B5" s="121"/>
      <c r="C5" s="121"/>
    </row>
    <row r="6">
      <c r="A6" s="121"/>
      <c r="B6" s="121"/>
      <c r="C6" s="121"/>
    </row>
    <row r="7">
      <c r="A7" s="121"/>
      <c r="B7" s="121"/>
      <c r="C7" s="121"/>
    </row>
    <row r="8">
      <c r="A8" s="121"/>
      <c r="B8" s="121"/>
      <c r="C8" s="121"/>
    </row>
    <row r="9">
      <c r="A9" s="121"/>
      <c r="B9" s="121"/>
      <c r="C9" s="121"/>
    </row>
    <row r="10">
      <c r="A10" s="121"/>
      <c r="B10" s="121"/>
      <c r="C10" s="121"/>
    </row>
    <row r="11">
      <c r="A11" s="121"/>
      <c r="B11" s="121"/>
      <c r="C11" s="121"/>
    </row>
    <row r="12">
      <c r="A12" s="121"/>
      <c r="B12" s="121"/>
      <c r="C12" s="121"/>
    </row>
    <row r="13">
      <c r="A13" s="121"/>
      <c r="B13" s="121"/>
      <c r="C13" s="121"/>
    </row>
    <row r="14">
      <c r="A14" s="121"/>
      <c r="B14" s="121"/>
      <c r="C14" s="121"/>
    </row>
    <row r="15">
      <c r="A15" s="121"/>
      <c r="B15" s="121"/>
      <c r="C15" s="121"/>
    </row>
    <row r="16">
      <c r="A16" s="121"/>
      <c r="B16" s="121"/>
      <c r="C16" s="121"/>
    </row>
    <row r="17">
      <c r="A17" s="121"/>
      <c r="B17" s="121"/>
      <c r="C17" s="121"/>
    </row>
    <row r="18">
      <c r="A18" s="121"/>
      <c r="B18" s="121"/>
      <c r="C18" s="121"/>
    </row>
    <row r="19">
      <c r="A19" s="121"/>
      <c r="B19" s="121"/>
      <c r="C19" s="121"/>
    </row>
    <row r="20">
      <c r="A20" s="121"/>
      <c r="B20" s="121"/>
      <c r="C20" s="121"/>
    </row>
    <row r="21" ht="15.75" customHeight="1">
      <c r="A21" s="121"/>
      <c r="B21" s="121"/>
      <c r="C21" s="121"/>
    </row>
    <row r="22" ht="15.75" customHeight="1">
      <c r="A22" s="121"/>
      <c r="B22" s="121"/>
      <c r="C22" s="121"/>
    </row>
    <row r="23" ht="15.75" customHeight="1">
      <c r="A23" s="121"/>
      <c r="B23" s="121"/>
      <c r="C23" s="121"/>
    </row>
    <row r="24" ht="15.75" customHeight="1">
      <c r="A24" s="121"/>
      <c r="B24" s="121"/>
      <c r="C24" s="121"/>
    </row>
    <row r="25" ht="15.75" customHeight="1">
      <c r="A25" s="121"/>
      <c r="B25" s="121"/>
      <c r="C25" s="121"/>
    </row>
    <row r="26" ht="15.75" customHeight="1">
      <c r="A26" s="121"/>
      <c r="B26" s="121"/>
      <c r="C26" s="121"/>
    </row>
    <row r="27" ht="15.75" customHeight="1">
      <c r="A27" s="121"/>
      <c r="B27" s="121"/>
      <c r="C27" s="121"/>
    </row>
    <row r="28" ht="15.75" customHeight="1">
      <c r="A28" s="121"/>
      <c r="B28" s="121"/>
      <c r="C28" s="121"/>
    </row>
    <row r="29" ht="15.75" customHeight="1">
      <c r="A29" s="121"/>
      <c r="B29" s="121"/>
      <c r="C29" s="121"/>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Implementation Checklist" location="'SEO Implementation Checklist'!A1" ref="A1"/>
    <hyperlink r:id="rId1" location="heading=h.modhfi9zmea" ref="B1"/>
    <hyperlink display="Priorities &amp; Status" location="'Priorities &amp; Status'!A1" ref="A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60.25"/>
    <col customWidth="1" min="3" max="3" width="45.5"/>
    <col customWidth="1" min="4" max="6" width="12.63"/>
  </cols>
  <sheetData>
    <row r="1">
      <c r="A1" s="140" t="s">
        <v>370</v>
      </c>
      <c r="B1" s="166" t="s">
        <v>392</v>
      </c>
      <c r="C1" s="167" t="s">
        <v>371</v>
      </c>
    </row>
    <row r="2">
      <c r="A2" s="140" t="s">
        <v>372</v>
      </c>
      <c r="B2" s="168" t="s">
        <v>393</v>
      </c>
    </row>
    <row r="3">
      <c r="A3" s="143" t="s">
        <v>378</v>
      </c>
      <c r="B3" s="143" t="s">
        <v>394</v>
      </c>
      <c r="C3" s="143" t="s">
        <v>376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C2"/>
  </mergeCells>
  <hyperlinks>
    <hyperlink display="Implementation Checklist" location="'SEO Implementation Checklist'!A1" ref="A1"/>
    <hyperlink r:id="rId1" location="heading=h.ozejw4yo6oa5" ref="C1"/>
    <hyperlink display="Priorities &amp; Status" location="'Priorities &amp; Status'!A1" ref="A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38"/>
    <col customWidth="1" min="2" max="2" width="55.38"/>
    <col customWidth="1" min="3" max="3" width="44.0"/>
    <col customWidth="1" min="4" max="4" width="32.13"/>
    <col customWidth="1" min="5" max="6" width="12.63"/>
  </cols>
  <sheetData>
    <row r="1">
      <c r="A1" s="140" t="s">
        <v>370</v>
      </c>
      <c r="B1" s="167" t="s">
        <v>371</v>
      </c>
      <c r="C1" s="166" t="s">
        <v>392</v>
      </c>
      <c r="D1" s="160"/>
    </row>
    <row r="2">
      <c r="A2" s="140" t="s">
        <v>372</v>
      </c>
      <c r="C2" s="168" t="s">
        <v>393</v>
      </c>
      <c r="D2" s="160"/>
    </row>
    <row r="3">
      <c r="A3" s="143" t="s">
        <v>378</v>
      </c>
      <c r="B3" s="143" t="s">
        <v>395</v>
      </c>
      <c r="C3" s="143" t="s">
        <v>394</v>
      </c>
      <c r="D3" s="143" t="s">
        <v>380</v>
      </c>
    </row>
    <row r="4">
      <c r="A4" s="121"/>
      <c r="B4" s="121"/>
      <c r="C4" s="121"/>
      <c r="D4" s="121"/>
    </row>
    <row r="5">
      <c r="A5" s="121"/>
      <c r="B5" s="121"/>
      <c r="C5" s="121"/>
      <c r="D5" s="1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1.0"/>
    <col customWidth="1" min="2" max="2" width="53.63"/>
    <col customWidth="1" min="3" max="3" width="25.0"/>
    <col customWidth="1" min="4" max="4" width="42.75"/>
    <col customWidth="1" min="5" max="6" width="12.63"/>
  </cols>
  <sheetData>
    <row r="1">
      <c r="A1" s="140" t="s">
        <v>370</v>
      </c>
      <c r="B1" s="167" t="s">
        <v>371</v>
      </c>
    </row>
    <row r="2">
      <c r="A2" s="140" t="s">
        <v>372</v>
      </c>
    </row>
    <row r="3">
      <c r="A3" s="143" t="s">
        <v>378</v>
      </c>
      <c r="B3" s="143" t="s">
        <v>396</v>
      </c>
      <c r="C3" s="143" t="s">
        <v>397</v>
      </c>
      <c r="D3" s="143" t="s">
        <v>398</v>
      </c>
    </row>
    <row r="4">
      <c r="C4" s="169"/>
    </row>
    <row r="5">
      <c r="C5" s="169"/>
    </row>
    <row r="6">
      <c r="C6" s="169"/>
    </row>
    <row r="7">
      <c r="C7" s="169"/>
    </row>
    <row r="8">
      <c r="C8" s="169"/>
    </row>
    <row r="9">
      <c r="C9" s="169"/>
    </row>
    <row r="10">
      <c r="C10" s="169"/>
    </row>
    <row r="11">
      <c r="C11" s="169"/>
    </row>
    <row r="12">
      <c r="C12" s="169"/>
    </row>
    <row r="13">
      <c r="C13" s="169"/>
    </row>
    <row r="14">
      <c r="C14" s="169"/>
    </row>
    <row r="15">
      <c r="C15" s="169"/>
    </row>
    <row r="16">
      <c r="C16" s="169"/>
    </row>
    <row r="17">
      <c r="C17" s="169"/>
    </row>
    <row r="18">
      <c r="C18" s="169"/>
    </row>
    <row r="19">
      <c r="C19" s="169"/>
    </row>
    <row r="20">
      <c r="C20" s="169"/>
    </row>
    <row r="21" ht="15.75" customHeight="1">
      <c r="C21" s="169"/>
    </row>
    <row r="22" ht="15.75" customHeight="1">
      <c r="C22" s="169"/>
    </row>
    <row r="23" ht="15.75" customHeight="1">
      <c r="C23" s="169"/>
    </row>
    <row r="24" ht="15.75" customHeight="1">
      <c r="C24" s="169"/>
    </row>
    <row r="25" ht="15.75" customHeight="1">
      <c r="C25" s="169"/>
    </row>
    <row r="26" ht="15.75" customHeight="1">
      <c r="C26" s="169"/>
    </row>
    <row r="27" ht="15.75" customHeight="1">
      <c r="C27" s="169"/>
    </row>
    <row r="28" ht="15.75" customHeight="1">
      <c r="C28" s="169"/>
    </row>
    <row r="29" ht="15.75" customHeight="1">
      <c r="C29" s="169"/>
    </row>
    <row r="30" ht="15.75" customHeight="1">
      <c r="C30" s="169"/>
    </row>
    <row r="31" ht="15.75" customHeight="1">
      <c r="C31" s="169"/>
    </row>
    <row r="32" ht="15.75" customHeight="1">
      <c r="C32" s="169"/>
    </row>
    <row r="33" ht="15.75" customHeight="1">
      <c r="C33" s="169"/>
    </row>
    <row r="34" ht="15.75" customHeight="1">
      <c r="C34" s="169"/>
    </row>
    <row r="35" ht="15.75" customHeight="1">
      <c r="C35" s="169"/>
    </row>
    <row r="36" ht="15.75" customHeight="1">
      <c r="C36" s="169"/>
    </row>
    <row r="37" ht="15.75" customHeight="1">
      <c r="C37" s="169"/>
    </row>
    <row r="38" ht="15.75" customHeight="1">
      <c r="C38" s="169"/>
    </row>
    <row r="39" ht="15.75" customHeight="1">
      <c r="C39" s="169"/>
    </row>
    <row r="40" ht="15.75" customHeight="1">
      <c r="C40" s="169"/>
    </row>
    <row r="41" ht="15.75" customHeight="1">
      <c r="C41" s="169"/>
    </row>
    <row r="42" ht="15.75" customHeight="1">
      <c r="C42" s="169"/>
    </row>
    <row r="43" ht="15.75" customHeight="1">
      <c r="C43" s="169"/>
    </row>
    <row r="44" ht="15.75" customHeight="1">
      <c r="C44" s="169"/>
    </row>
    <row r="45" ht="15.75" customHeight="1">
      <c r="C45" s="169"/>
    </row>
    <row r="46" ht="15.75" customHeight="1">
      <c r="C46" s="169"/>
    </row>
    <row r="47" ht="15.75" customHeight="1">
      <c r="C47" s="169"/>
    </row>
    <row r="48" ht="15.75" customHeight="1">
      <c r="C48" s="169"/>
    </row>
    <row r="49" ht="15.75" customHeight="1">
      <c r="C49" s="169"/>
    </row>
    <row r="50" ht="15.75" customHeight="1">
      <c r="C50" s="169"/>
    </row>
    <row r="51" ht="15.75" customHeight="1">
      <c r="C51" s="169"/>
    </row>
    <row r="52" ht="15.75" customHeight="1">
      <c r="C52" s="169"/>
    </row>
    <row r="53" ht="15.75" customHeight="1">
      <c r="C53" s="169"/>
    </row>
    <row r="54" ht="15.75" customHeight="1">
      <c r="C54" s="169"/>
    </row>
    <row r="55" ht="15.75" customHeight="1">
      <c r="C55" s="169"/>
    </row>
    <row r="56" ht="15.75" customHeight="1">
      <c r="C56" s="169"/>
    </row>
    <row r="57" ht="15.75" customHeight="1">
      <c r="C57" s="169"/>
    </row>
    <row r="58" ht="15.75" customHeight="1">
      <c r="C58" s="169"/>
    </row>
    <row r="59" ht="15.75" customHeight="1">
      <c r="C59" s="169"/>
    </row>
    <row r="60" ht="15.75" customHeight="1">
      <c r="C60" s="169"/>
    </row>
    <row r="61" ht="15.75" customHeight="1">
      <c r="C61" s="169"/>
    </row>
    <row r="62" ht="15.75" customHeight="1">
      <c r="C62" s="169"/>
    </row>
    <row r="63" ht="15.75" customHeight="1">
      <c r="C63" s="169"/>
    </row>
    <row r="64" ht="15.75" customHeight="1">
      <c r="C64" s="169"/>
    </row>
    <row r="65" ht="15.75" customHeight="1">
      <c r="C65" s="169"/>
    </row>
    <row r="66" ht="15.75" customHeight="1">
      <c r="C66" s="169"/>
    </row>
    <row r="67" ht="15.75" customHeight="1">
      <c r="C67" s="169"/>
    </row>
    <row r="68" ht="15.75" customHeight="1">
      <c r="C68" s="169"/>
    </row>
    <row r="69" ht="15.75" customHeight="1">
      <c r="C69" s="169"/>
    </row>
    <row r="70" ht="15.75" customHeight="1">
      <c r="C70" s="169"/>
    </row>
    <row r="71" ht="15.75" customHeight="1">
      <c r="C71" s="169"/>
    </row>
    <row r="72" ht="15.75" customHeight="1">
      <c r="C72" s="169"/>
    </row>
    <row r="73" ht="15.75" customHeight="1">
      <c r="C73" s="169"/>
    </row>
    <row r="74" ht="15.75" customHeight="1">
      <c r="C74" s="169"/>
    </row>
    <row r="75" ht="15.75" customHeight="1">
      <c r="C75" s="169"/>
    </row>
    <row r="76" ht="15.75" customHeight="1">
      <c r="C76" s="169"/>
    </row>
    <row r="77" ht="15.75" customHeight="1">
      <c r="C77" s="169"/>
    </row>
    <row r="78" ht="15.75" customHeight="1">
      <c r="C78" s="169"/>
    </row>
    <row r="79" ht="15.75" customHeight="1">
      <c r="C79" s="169"/>
    </row>
    <row r="80" ht="15.75" customHeight="1">
      <c r="C80" s="169"/>
    </row>
    <row r="81" ht="15.75" customHeight="1">
      <c r="C81" s="169"/>
    </row>
    <row r="82" ht="15.75" customHeight="1">
      <c r="C82" s="169"/>
    </row>
    <row r="83" ht="15.75" customHeight="1">
      <c r="C83" s="169"/>
    </row>
    <row r="84" ht="15.75" customHeight="1">
      <c r="C84" s="169"/>
    </row>
    <row r="85" ht="15.75" customHeight="1">
      <c r="C85" s="169"/>
    </row>
    <row r="86" ht="15.75" customHeight="1">
      <c r="C86" s="169"/>
    </row>
    <row r="87" ht="15.75" customHeight="1">
      <c r="C87" s="169"/>
    </row>
    <row r="88" ht="15.75" customHeight="1">
      <c r="C88" s="169"/>
    </row>
    <row r="89" ht="15.75" customHeight="1">
      <c r="C89" s="169"/>
    </row>
    <row r="90" ht="15.75" customHeight="1">
      <c r="C90" s="169"/>
    </row>
    <row r="91" ht="15.75" customHeight="1">
      <c r="C91" s="169"/>
    </row>
    <row r="92" ht="15.75" customHeight="1">
      <c r="C92" s="169"/>
    </row>
    <row r="93" ht="15.75" customHeight="1">
      <c r="C93" s="169"/>
    </row>
    <row r="94" ht="15.75" customHeight="1">
      <c r="C94" s="169"/>
    </row>
    <row r="95" ht="15.75" customHeight="1">
      <c r="C95" s="169"/>
    </row>
    <row r="96" ht="15.75" customHeight="1">
      <c r="C96" s="169"/>
    </row>
    <row r="97" ht="15.75" customHeight="1">
      <c r="C97" s="169"/>
    </row>
    <row r="98" ht="15.75" customHeight="1">
      <c r="C98" s="169"/>
    </row>
    <row r="99" ht="15.75" customHeight="1">
      <c r="C99" s="169"/>
    </row>
    <row r="100" ht="15.75" customHeight="1">
      <c r="C100" s="169"/>
    </row>
    <row r="101" ht="15.75" customHeight="1">
      <c r="C101" s="169"/>
    </row>
    <row r="102" ht="15.75" customHeight="1">
      <c r="C102" s="169"/>
    </row>
    <row r="103" ht="15.75" customHeight="1">
      <c r="C103" s="169"/>
    </row>
    <row r="104" ht="15.75" customHeight="1">
      <c r="C104" s="169"/>
    </row>
    <row r="105" ht="15.75" customHeight="1">
      <c r="C105" s="169"/>
    </row>
    <row r="106" ht="15.75" customHeight="1">
      <c r="C106" s="169"/>
    </row>
    <row r="107" ht="15.75" customHeight="1">
      <c r="C107" s="169"/>
    </row>
    <row r="108" ht="15.75" customHeight="1">
      <c r="C108" s="169"/>
    </row>
    <row r="109" ht="15.75" customHeight="1">
      <c r="C109" s="169"/>
    </row>
    <row r="110" ht="15.75" customHeight="1">
      <c r="C110" s="169"/>
    </row>
    <row r="111" ht="15.75" customHeight="1">
      <c r="C111" s="169"/>
    </row>
    <row r="112" ht="15.75" customHeight="1">
      <c r="C112" s="169"/>
    </row>
    <row r="113" ht="15.75" customHeight="1">
      <c r="C113" s="169"/>
    </row>
    <row r="114" ht="15.75" customHeight="1">
      <c r="C114" s="169"/>
    </row>
    <row r="115" ht="15.75" customHeight="1">
      <c r="C115" s="169"/>
    </row>
    <row r="116" ht="15.75" customHeight="1">
      <c r="C116" s="169"/>
    </row>
    <row r="117" ht="15.75" customHeight="1">
      <c r="C117" s="169"/>
    </row>
    <row r="118" ht="15.75" customHeight="1">
      <c r="C118" s="169"/>
    </row>
    <row r="119" ht="15.75" customHeight="1">
      <c r="C119" s="169"/>
    </row>
    <row r="120" ht="15.75" customHeight="1">
      <c r="C120" s="169"/>
    </row>
    <row r="121" ht="15.75" customHeight="1">
      <c r="C121" s="169"/>
    </row>
    <row r="122" ht="15.75" customHeight="1">
      <c r="C122" s="169"/>
    </row>
    <row r="123" ht="15.75" customHeight="1">
      <c r="C123" s="169"/>
    </row>
    <row r="124" ht="15.75" customHeight="1">
      <c r="C124" s="169"/>
    </row>
    <row r="125" ht="15.75" customHeight="1">
      <c r="C125" s="169"/>
    </row>
    <row r="126" ht="15.75" customHeight="1">
      <c r="C126" s="169"/>
    </row>
    <row r="127" ht="15.75" customHeight="1">
      <c r="C127" s="169"/>
    </row>
    <row r="128" ht="15.75" customHeight="1">
      <c r="C128" s="169"/>
    </row>
    <row r="129" ht="15.75" customHeight="1">
      <c r="C129" s="169"/>
    </row>
    <row r="130" ht="15.75" customHeight="1">
      <c r="C130" s="169"/>
    </row>
    <row r="131" ht="15.75" customHeight="1">
      <c r="C131" s="169"/>
    </row>
    <row r="132" ht="15.75" customHeight="1">
      <c r="C132" s="169"/>
    </row>
    <row r="133" ht="15.75" customHeight="1">
      <c r="C133" s="169"/>
    </row>
    <row r="134" ht="15.75" customHeight="1">
      <c r="C134" s="169"/>
    </row>
    <row r="135" ht="15.75" customHeight="1">
      <c r="C135" s="169"/>
    </row>
    <row r="136" ht="15.75" customHeight="1">
      <c r="C136" s="169"/>
    </row>
    <row r="137" ht="15.75" customHeight="1">
      <c r="C137" s="169"/>
    </row>
    <row r="138" ht="15.75" customHeight="1">
      <c r="C138" s="169"/>
    </row>
    <row r="139" ht="15.75" customHeight="1">
      <c r="C139" s="169"/>
    </row>
    <row r="140" ht="15.75" customHeight="1">
      <c r="C140" s="169"/>
    </row>
    <row r="141" ht="15.75" customHeight="1">
      <c r="C141" s="169"/>
    </row>
    <row r="142" ht="15.75" customHeight="1">
      <c r="C142" s="169"/>
    </row>
    <row r="143" ht="15.75" customHeight="1">
      <c r="C143" s="169"/>
    </row>
    <row r="144" ht="15.75" customHeight="1">
      <c r="C144" s="169"/>
    </row>
    <row r="145" ht="15.75" customHeight="1">
      <c r="C145" s="169"/>
    </row>
    <row r="146" ht="15.75" customHeight="1">
      <c r="C146" s="169"/>
    </row>
    <row r="147" ht="15.75" customHeight="1">
      <c r="C147" s="169"/>
    </row>
    <row r="148" ht="15.75" customHeight="1">
      <c r="C148" s="169"/>
    </row>
    <row r="149" ht="15.75" customHeight="1">
      <c r="C149" s="169"/>
    </row>
    <row r="150" ht="15.75" customHeight="1">
      <c r="C150" s="169"/>
    </row>
    <row r="151" ht="15.75" customHeight="1">
      <c r="C151" s="169"/>
    </row>
    <row r="152" ht="15.75" customHeight="1">
      <c r="C152" s="169"/>
    </row>
    <row r="153" ht="15.75" customHeight="1">
      <c r="C153" s="169"/>
    </row>
    <row r="154" ht="15.75" customHeight="1">
      <c r="C154" s="169"/>
    </row>
    <row r="155" ht="15.75" customHeight="1">
      <c r="C155" s="169"/>
    </row>
    <row r="156" ht="15.75" customHeight="1">
      <c r="C156" s="169"/>
    </row>
    <row r="157" ht="15.75" customHeight="1">
      <c r="C157" s="169"/>
    </row>
    <row r="158" ht="15.75" customHeight="1">
      <c r="C158" s="169"/>
    </row>
    <row r="159" ht="15.75" customHeight="1">
      <c r="C159" s="169"/>
    </row>
    <row r="160" ht="15.75" customHeight="1">
      <c r="C160" s="169"/>
    </row>
    <row r="161" ht="15.75" customHeight="1">
      <c r="C161" s="169"/>
    </row>
    <row r="162" ht="15.75" customHeight="1">
      <c r="C162" s="169"/>
    </row>
    <row r="163" ht="15.75" customHeight="1">
      <c r="C163" s="169"/>
    </row>
    <row r="164" ht="15.75" customHeight="1">
      <c r="C164" s="169"/>
    </row>
    <row r="165" ht="15.75" customHeight="1">
      <c r="C165" s="169"/>
    </row>
    <row r="166" ht="15.75" customHeight="1">
      <c r="C166" s="169"/>
    </row>
    <row r="167" ht="15.75" customHeight="1">
      <c r="C167" s="169"/>
    </row>
    <row r="168" ht="15.75" customHeight="1">
      <c r="C168" s="169"/>
    </row>
    <row r="169" ht="15.75" customHeight="1">
      <c r="C169" s="169"/>
    </row>
    <row r="170" ht="15.75" customHeight="1">
      <c r="C170" s="169"/>
    </row>
    <row r="171" ht="15.75" customHeight="1">
      <c r="C171" s="169"/>
    </row>
    <row r="172" ht="15.75" customHeight="1">
      <c r="C172" s="169"/>
    </row>
    <row r="173" ht="15.75" customHeight="1">
      <c r="C173" s="169"/>
    </row>
    <row r="174" ht="15.75" customHeight="1">
      <c r="C174" s="169"/>
    </row>
    <row r="175" ht="15.75" customHeight="1">
      <c r="C175" s="169"/>
    </row>
    <row r="176" ht="15.75" customHeight="1">
      <c r="C176" s="169"/>
    </row>
    <row r="177" ht="15.75" customHeight="1">
      <c r="C177" s="169"/>
    </row>
    <row r="178" ht="15.75" customHeight="1">
      <c r="C178" s="169"/>
    </row>
    <row r="179" ht="15.75" customHeight="1">
      <c r="C179" s="169"/>
    </row>
    <row r="180" ht="15.75" customHeight="1">
      <c r="C180" s="169"/>
    </row>
    <row r="181" ht="15.75" customHeight="1">
      <c r="C181" s="169"/>
    </row>
    <row r="182" ht="15.75" customHeight="1">
      <c r="C182" s="169"/>
    </row>
    <row r="183" ht="15.75" customHeight="1">
      <c r="C183" s="169"/>
    </row>
    <row r="184" ht="15.75" customHeight="1">
      <c r="C184" s="169"/>
    </row>
    <row r="185" ht="15.75" customHeight="1">
      <c r="C185" s="169"/>
    </row>
    <row r="186" ht="15.75" customHeight="1">
      <c r="C186" s="169"/>
    </row>
    <row r="187" ht="15.75" customHeight="1">
      <c r="C187" s="169"/>
    </row>
    <row r="188" ht="15.75" customHeight="1">
      <c r="C188" s="169"/>
    </row>
    <row r="189" ht="15.75" customHeight="1">
      <c r="C189" s="169"/>
    </row>
    <row r="190" ht="15.75" customHeight="1">
      <c r="C190" s="169"/>
    </row>
    <row r="191" ht="15.75" customHeight="1">
      <c r="C191" s="169"/>
    </row>
    <row r="192" ht="15.75" customHeight="1">
      <c r="C192" s="169"/>
    </row>
    <row r="193" ht="15.75" customHeight="1">
      <c r="C193" s="169"/>
    </row>
    <row r="194" ht="15.75" customHeight="1">
      <c r="C194" s="169"/>
    </row>
    <row r="195" ht="15.75" customHeight="1">
      <c r="C195" s="169"/>
    </row>
    <row r="196" ht="15.75" customHeight="1">
      <c r="C196" s="169"/>
    </row>
    <row r="197" ht="15.75" customHeight="1">
      <c r="C197" s="169"/>
    </row>
    <row r="198" ht="15.75" customHeight="1">
      <c r="C198" s="169"/>
    </row>
    <row r="199" ht="15.75" customHeight="1">
      <c r="C199" s="169"/>
    </row>
    <row r="200" ht="15.75" customHeight="1">
      <c r="C200" s="169"/>
    </row>
    <row r="201" ht="15.75" customHeight="1">
      <c r="C201" s="169"/>
    </row>
    <row r="202" ht="15.75" customHeight="1">
      <c r="C202" s="169"/>
    </row>
    <row r="203" ht="15.75" customHeight="1">
      <c r="C203" s="169"/>
    </row>
    <row r="204" ht="15.75" customHeight="1">
      <c r="C204" s="169"/>
    </row>
    <row r="205" ht="15.75" customHeight="1">
      <c r="C205" s="169"/>
    </row>
    <row r="206" ht="15.75" customHeight="1">
      <c r="C206" s="169"/>
    </row>
    <row r="207" ht="15.75" customHeight="1">
      <c r="C207" s="169"/>
    </row>
    <row r="208" ht="15.75" customHeight="1">
      <c r="C208" s="169"/>
    </row>
    <row r="209" ht="15.75" customHeight="1">
      <c r="C209" s="169"/>
    </row>
    <row r="210" ht="15.75" customHeight="1">
      <c r="C210" s="169"/>
    </row>
    <row r="211" ht="15.75" customHeight="1">
      <c r="C211" s="169"/>
    </row>
    <row r="212" ht="15.75" customHeight="1">
      <c r="C212" s="169"/>
    </row>
    <row r="213" ht="15.75" customHeight="1">
      <c r="C213" s="169"/>
    </row>
    <row r="214" ht="15.75" customHeight="1">
      <c r="C214" s="169"/>
    </row>
    <row r="215" ht="15.75" customHeight="1">
      <c r="C215" s="169"/>
    </row>
    <row r="216" ht="15.75" customHeight="1">
      <c r="C216" s="169"/>
    </row>
    <row r="217" ht="15.75" customHeight="1">
      <c r="C217" s="169"/>
    </row>
    <row r="218" ht="15.75" customHeight="1">
      <c r="C218" s="169"/>
    </row>
    <row r="219" ht="15.75" customHeight="1">
      <c r="C219" s="169"/>
    </row>
    <row r="220" ht="15.75" customHeight="1">
      <c r="C220" s="1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0"/>
    <col customWidth="1" min="2" max="2" width="42.38"/>
    <col customWidth="1" min="3" max="3" width="39.0"/>
    <col customWidth="1" min="4" max="4" width="50.88"/>
    <col customWidth="1" min="5" max="6" width="12.63"/>
  </cols>
  <sheetData>
    <row r="1">
      <c r="A1" s="140" t="s">
        <v>370</v>
      </c>
      <c r="B1" s="167" t="s">
        <v>371</v>
      </c>
      <c r="D1" s="160"/>
    </row>
    <row r="2">
      <c r="A2" s="140" t="s">
        <v>372</v>
      </c>
      <c r="D2" s="160"/>
    </row>
    <row r="3">
      <c r="A3" s="143" t="s">
        <v>378</v>
      </c>
      <c r="B3" s="143" t="s">
        <v>396</v>
      </c>
      <c r="C3" s="143" t="s">
        <v>399</v>
      </c>
      <c r="D3" s="143" t="s">
        <v>388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ozejw4yo6oa5" ref="B1"/>
    <hyperlink display="Priorities &amp; Status" location="'Priorities &amp; Status'!A1" ref="A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75"/>
    <col customWidth="1" min="2" max="2" width="50.75"/>
    <col customWidth="1" min="3" max="6" width="12.63"/>
  </cols>
  <sheetData>
    <row r="1">
      <c r="A1" s="140" t="s">
        <v>370</v>
      </c>
      <c r="B1" s="167" t="s">
        <v>371</v>
      </c>
    </row>
    <row r="2">
      <c r="A2" s="140" t="s">
        <v>372</v>
      </c>
    </row>
    <row r="3">
      <c r="A3" s="143" t="s">
        <v>378</v>
      </c>
      <c r="B3" s="143" t="s">
        <v>376</v>
      </c>
    </row>
    <row r="4">
      <c r="A4" s="170"/>
    </row>
    <row r="5">
      <c r="A5" s="170"/>
    </row>
    <row r="6">
      <c r="A6" s="170"/>
    </row>
    <row r="7">
      <c r="A7" s="1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114.38"/>
    <col customWidth="1" min="3" max="6" width="12.63"/>
  </cols>
  <sheetData>
    <row r="1">
      <c r="A1" s="140" t="s">
        <v>370</v>
      </c>
      <c r="B1" s="167" t="s">
        <v>371</v>
      </c>
    </row>
    <row r="2">
      <c r="A2" s="140" t="s">
        <v>372</v>
      </c>
    </row>
    <row r="3">
      <c r="A3" s="143" t="s">
        <v>378</v>
      </c>
      <c r="B3" s="143" t="s">
        <v>400</v>
      </c>
    </row>
    <row r="4">
      <c r="A4" s="121"/>
      <c r="B4" s="121"/>
    </row>
    <row r="5">
      <c r="A5" s="121"/>
      <c r="B5" s="121"/>
    </row>
    <row r="6">
      <c r="A6" s="121"/>
      <c r="B6" s="121"/>
    </row>
    <row r="7">
      <c r="A7" s="121"/>
      <c r="B7" s="121"/>
    </row>
    <row r="8">
      <c r="A8" s="121"/>
      <c r="B8" s="121"/>
    </row>
    <row r="9">
      <c r="A9" s="121"/>
      <c r="B9" s="121"/>
    </row>
    <row r="10">
      <c r="A10" s="121"/>
      <c r="B10" s="121"/>
    </row>
    <row r="11">
      <c r="A11" s="121"/>
      <c r="B11" s="121"/>
    </row>
    <row r="12">
      <c r="A12" s="121"/>
      <c r="B12" s="121"/>
    </row>
    <row r="13">
      <c r="A13" s="121"/>
      <c r="B13" s="121"/>
    </row>
    <row r="14">
      <c r="A14" s="121"/>
      <c r="B14" s="121"/>
    </row>
    <row r="15">
      <c r="A15" s="121"/>
      <c r="B15" s="121"/>
    </row>
    <row r="16">
      <c r="A16" s="121"/>
      <c r="B16" s="121"/>
    </row>
    <row r="17">
      <c r="A17" s="121"/>
      <c r="B17" s="121"/>
    </row>
    <row r="18">
      <c r="A18" s="121"/>
      <c r="B18" s="121"/>
    </row>
    <row r="19">
      <c r="A19" s="121"/>
      <c r="B19" s="121"/>
    </row>
    <row r="20">
      <c r="A20" s="121"/>
      <c r="B20" s="121"/>
    </row>
    <row r="21" ht="15.75" customHeight="1">
      <c r="A21" s="121"/>
      <c r="B21" s="12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9.88"/>
    <col customWidth="1" min="2" max="2" width="98.63"/>
    <col customWidth="1" min="3" max="3" width="29.25"/>
    <col customWidth="1" min="4" max="6" width="12.63"/>
  </cols>
  <sheetData>
    <row r="1">
      <c r="A1" s="140" t="s">
        <v>370</v>
      </c>
      <c r="B1" s="167" t="s">
        <v>371</v>
      </c>
      <c r="C1" s="171" t="s">
        <v>401</v>
      </c>
    </row>
    <row r="2">
      <c r="A2" s="140" t="s">
        <v>372</v>
      </c>
    </row>
    <row r="3">
      <c r="A3" s="143" t="s">
        <v>378</v>
      </c>
      <c r="B3" s="143" t="s">
        <v>400</v>
      </c>
      <c r="C3" s="143" t="s">
        <v>402</v>
      </c>
    </row>
    <row r="4">
      <c r="A4" s="172"/>
      <c r="C4" s="173"/>
    </row>
    <row r="5">
      <c r="C5" s="173"/>
    </row>
    <row r="6">
      <c r="C6" s="173"/>
    </row>
    <row r="7">
      <c r="C7" s="173"/>
    </row>
    <row r="8">
      <c r="C8" s="173"/>
    </row>
    <row r="9">
      <c r="C9" s="173"/>
    </row>
    <row r="10">
      <c r="C10" s="173"/>
    </row>
    <row r="11">
      <c r="C11" s="169"/>
    </row>
    <row r="12">
      <c r="C12" s="169"/>
    </row>
    <row r="13">
      <c r="C13" s="169"/>
    </row>
    <row r="14">
      <c r="C14" s="169"/>
    </row>
    <row r="15">
      <c r="C15" s="169"/>
    </row>
    <row r="16">
      <c r="C16" s="169"/>
    </row>
    <row r="17">
      <c r="C17" s="169"/>
    </row>
    <row r="18">
      <c r="C18" s="169"/>
    </row>
    <row r="19">
      <c r="C19" s="169"/>
    </row>
    <row r="20">
      <c r="C20" s="169"/>
    </row>
    <row r="21" ht="15.75" customHeight="1">
      <c r="C21" s="169"/>
    </row>
    <row r="22" ht="15.75" customHeight="1">
      <c r="C22" s="169"/>
    </row>
    <row r="23" ht="15.75" customHeight="1">
      <c r="C23" s="169"/>
    </row>
    <row r="24" ht="15.75" customHeight="1">
      <c r="C24" s="169"/>
    </row>
    <row r="25" ht="15.75" customHeight="1">
      <c r="C25" s="169"/>
    </row>
    <row r="26" ht="15.75" customHeight="1">
      <c r="C26" s="169"/>
    </row>
    <row r="27" ht="15.75" customHeight="1">
      <c r="C27" s="169"/>
    </row>
    <row r="28" ht="15.75" customHeight="1">
      <c r="C28" s="169"/>
    </row>
    <row r="29" ht="15.75" customHeight="1">
      <c r="C29" s="169"/>
    </row>
    <row r="30" ht="15.75" customHeight="1">
      <c r="C30" s="169"/>
    </row>
    <row r="31" ht="15.75" customHeight="1">
      <c r="C31" s="169"/>
    </row>
    <row r="32" ht="15.75" customHeight="1">
      <c r="C32" s="169"/>
    </row>
    <row r="33" ht="15.75" customHeight="1">
      <c r="C33" s="169"/>
    </row>
    <row r="34" ht="15.75" customHeight="1">
      <c r="C34" s="169"/>
    </row>
    <row r="35" ht="15.75" customHeight="1">
      <c r="C35" s="169"/>
    </row>
    <row r="36" ht="15.75" customHeight="1">
      <c r="C36" s="169"/>
    </row>
    <row r="37" ht="15.75" customHeight="1">
      <c r="C37" s="169"/>
    </row>
    <row r="38" ht="15.75" customHeight="1">
      <c r="C38" s="169"/>
    </row>
    <row r="39" ht="15.75" customHeight="1">
      <c r="C39" s="169"/>
    </row>
    <row r="40" ht="15.75" customHeight="1">
      <c r="C40" s="169"/>
    </row>
    <row r="41" ht="15.75" customHeight="1">
      <c r="C41" s="169"/>
    </row>
    <row r="42" ht="15.75" customHeight="1">
      <c r="C42" s="169"/>
    </row>
    <row r="43" ht="15.75" customHeight="1">
      <c r="C43" s="169"/>
    </row>
    <row r="44" ht="15.75" customHeight="1">
      <c r="C44" s="169"/>
    </row>
    <row r="45" ht="15.75" customHeight="1">
      <c r="C45" s="169"/>
    </row>
    <row r="46" ht="15.75" customHeight="1">
      <c r="C46" s="169"/>
    </row>
    <row r="47" ht="15.75" customHeight="1">
      <c r="C47" s="169"/>
    </row>
    <row r="48" ht="15.75" customHeight="1">
      <c r="C48" s="169"/>
    </row>
    <row r="49" ht="15.75" customHeight="1">
      <c r="C49" s="169"/>
    </row>
    <row r="50" ht="15.75" customHeight="1">
      <c r="C50" s="169"/>
    </row>
    <row r="51" ht="15.75" customHeight="1">
      <c r="C51" s="169"/>
    </row>
    <row r="52" ht="15.75" customHeight="1">
      <c r="C52" s="169"/>
    </row>
    <row r="53" ht="15.75" customHeight="1">
      <c r="C53" s="169"/>
    </row>
    <row r="54" ht="15.75" customHeight="1">
      <c r="C54" s="169"/>
    </row>
    <row r="55" ht="15.75" customHeight="1">
      <c r="C55" s="169"/>
    </row>
    <row r="56" ht="15.75" customHeight="1">
      <c r="C56" s="169"/>
    </row>
    <row r="57" ht="15.75" customHeight="1">
      <c r="C57" s="169"/>
    </row>
    <row r="58" ht="15.75" customHeight="1">
      <c r="C58" s="169"/>
    </row>
    <row r="59" ht="15.75" customHeight="1">
      <c r="C59" s="169"/>
    </row>
    <row r="60" ht="15.75" customHeight="1">
      <c r="C60" s="169"/>
    </row>
    <row r="61" ht="15.75" customHeight="1">
      <c r="C61" s="169"/>
    </row>
    <row r="62" ht="15.75" customHeight="1">
      <c r="C62" s="169"/>
    </row>
    <row r="63" ht="15.75" customHeight="1">
      <c r="C63" s="169"/>
    </row>
    <row r="64" ht="15.75" customHeight="1">
      <c r="C64" s="169"/>
    </row>
    <row r="65" ht="15.75" customHeight="1">
      <c r="C65" s="169"/>
    </row>
    <row r="66" ht="15.75" customHeight="1">
      <c r="C66" s="169"/>
    </row>
    <row r="67" ht="15.75" customHeight="1">
      <c r="C67" s="169"/>
    </row>
    <row r="68" ht="15.75" customHeight="1">
      <c r="C68" s="169"/>
    </row>
    <row r="69" ht="15.75" customHeight="1">
      <c r="C69" s="169"/>
    </row>
    <row r="70" ht="15.75" customHeight="1">
      <c r="C70" s="169"/>
    </row>
    <row r="71" ht="15.75" customHeight="1">
      <c r="C71" s="169"/>
    </row>
    <row r="72" ht="15.75" customHeight="1">
      <c r="C72" s="169"/>
    </row>
    <row r="73" ht="15.75" customHeight="1">
      <c r="C73" s="169"/>
    </row>
    <row r="74" ht="15.75" customHeight="1">
      <c r="C74" s="169"/>
    </row>
    <row r="75" ht="15.75" customHeight="1">
      <c r="C75" s="169"/>
    </row>
    <row r="76" ht="15.75" customHeight="1">
      <c r="C76" s="169"/>
    </row>
    <row r="77" ht="15.75" customHeight="1">
      <c r="C77" s="169"/>
    </row>
    <row r="78" ht="15.75" customHeight="1">
      <c r="C78" s="169"/>
    </row>
    <row r="79" ht="15.75" customHeight="1">
      <c r="C79" s="169"/>
    </row>
    <row r="80" ht="15.75" customHeight="1">
      <c r="C80" s="169"/>
    </row>
    <row r="81" ht="15.75" customHeight="1">
      <c r="C81" s="169"/>
    </row>
    <row r="82" ht="15.75" customHeight="1">
      <c r="C82" s="169"/>
    </row>
    <row r="83" ht="15.75" customHeight="1">
      <c r="C83" s="169"/>
    </row>
    <row r="84" ht="15.75" customHeight="1">
      <c r="C84" s="169"/>
    </row>
    <row r="85" ht="15.75" customHeight="1">
      <c r="C85" s="169"/>
    </row>
    <row r="86" ht="15.75" customHeight="1">
      <c r="C86" s="169"/>
    </row>
    <row r="87" ht="15.75" customHeight="1">
      <c r="C87" s="169"/>
    </row>
    <row r="88" ht="15.75" customHeight="1">
      <c r="C88" s="169"/>
    </row>
    <row r="89" ht="15.75" customHeight="1">
      <c r="C89" s="169"/>
    </row>
    <row r="90" ht="15.75" customHeight="1">
      <c r="C90" s="169"/>
    </row>
    <row r="91" ht="15.75" customHeight="1">
      <c r="C91" s="169"/>
    </row>
    <row r="92" ht="15.75" customHeight="1">
      <c r="C92" s="169"/>
    </row>
    <row r="93" ht="15.75" customHeight="1">
      <c r="C93" s="169"/>
    </row>
    <row r="94" ht="15.75" customHeight="1">
      <c r="C94" s="169"/>
    </row>
    <row r="95" ht="15.75" customHeight="1">
      <c r="C95" s="169"/>
    </row>
    <row r="96" ht="15.75" customHeight="1">
      <c r="C96" s="169"/>
    </row>
    <row r="97" ht="15.75" customHeight="1">
      <c r="C97" s="169"/>
    </row>
    <row r="98" ht="15.75" customHeight="1">
      <c r="C98" s="169"/>
    </row>
    <row r="99" ht="15.75" customHeight="1">
      <c r="C99" s="169"/>
    </row>
    <row r="100" ht="15.75" customHeight="1">
      <c r="C100" s="169"/>
    </row>
    <row r="101" ht="15.75" customHeight="1">
      <c r="C101" s="169"/>
    </row>
    <row r="102" ht="15.75" customHeight="1">
      <c r="C102" s="169"/>
    </row>
    <row r="103" ht="15.75" customHeight="1">
      <c r="C103" s="169"/>
    </row>
    <row r="104" ht="15.75" customHeight="1">
      <c r="C104" s="169"/>
    </row>
    <row r="105" ht="15.75" customHeight="1">
      <c r="C105" s="169"/>
    </row>
    <row r="106" ht="15.75" customHeight="1">
      <c r="C106" s="169"/>
    </row>
    <row r="107" ht="15.75" customHeight="1">
      <c r="C107" s="169"/>
    </row>
    <row r="108" ht="15.75" customHeight="1">
      <c r="C108" s="169"/>
    </row>
    <row r="109" ht="15.75" customHeight="1">
      <c r="C109" s="169"/>
    </row>
    <row r="110" ht="15.75" customHeight="1">
      <c r="C110" s="169"/>
    </row>
    <row r="111" ht="15.75" customHeight="1">
      <c r="C111" s="169"/>
    </row>
    <row r="112" ht="15.75" customHeight="1">
      <c r="C112" s="169"/>
    </row>
    <row r="113" ht="15.75" customHeight="1">
      <c r="C113" s="169"/>
    </row>
    <row r="114" ht="15.75" customHeight="1">
      <c r="C114" s="169"/>
    </row>
    <row r="115" ht="15.75" customHeight="1">
      <c r="C115" s="169"/>
    </row>
    <row r="116" ht="15.75" customHeight="1">
      <c r="C116" s="169"/>
    </row>
    <row r="117" ht="15.75" customHeight="1">
      <c r="C117" s="169"/>
    </row>
    <row r="118" ht="15.75" customHeight="1">
      <c r="C118" s="169"/>
    </row>
    <row r="119" ht="15.75" customHeight="1">
      <c r="C119" s="169"/>
    </row>
    <row r="120" ht="15.75" customHeight="1">
      <c r="C120" s="169"/>
    </row>
    <row r="121" ht="15.75" customHeight="1">
      <c r="C121" s="169"/>
    </row>
    <row r="122" ht="15.75" customHeight="1">
      <c r="C122" s="169"/>
    </row>
    <row r="123" ht="15.75" customHeight="1">
      <c r="C123" s="169"/>
    </row>
    <row r="124" ht="15.75" customHeight="1">
      <c r="C124" s="169"/>
    </row>
    <row r="125" ht="15.75" customHeight="1">
      <c r="C125" s="169"/>
    </row>
    <row r="126" ht="15.75" customHeight="1">
      <c r="C126" s="169"/>
    </row>
    <row r="127" ht="15.75" customHeight="1">
      <c r="C127" s="169"/>
    </row>
    <row r="128" ht="15.75" customHeight="1">
      <c r="C128" s="169"/>
    </row>
    <row r="129" ht="15.75" customHeight="1">
      <c r="C129" s="169"/>
    </row>
    <row r="130" ht="15.75" customHeight="1">
      <c r="C130" s="169"/>
    </row>
    <row r="131" ht="15.75" customHeight="1">
      <c r="C131" s="169"/>
    </row>
    <row r="132" ht="15.75" customHeight="1">
      <c r="C132" s="169"/>
    </row>
    <row r="133" ht="15.75" customHeight="1">
      <c r="C133" s="169"/>
    </row>
    <row r="134" ht="15.75" customHeight="1">
      <c r="C134" s="169"/>
    </row>
    <row r="135" ht="15.75" customHeight="1">
      <c r="C135" s="169"/>
    </row>
    <row r="136" ht="15.75" customHeight="1">
      <c r="C136" s="169"/>
    </row>
    <row r="137" ht="15.75" customHeight="1">
      <c r="C137" s="169"/>
    </row>
    <row r="138" ht="15.75" customHeight="1">
      <c r="C138" s="169"/>
    </row>
    <row r="139" ht="15.75" customHeight="1">
      <c r="C139" s="169"/>
    </row>
    <row r="140" ht="15.75" customHeight="1">
      <c r="C140" s="169"/>
    </row>
    <row r="141" ht="15.75" customHeight="1">
      <c r="C141" s="169"/>
    </row>
    <row r="142" ht="15.75" customHeight="1">
      <c r="C142" s="169"/>
    </row>
    <row r="143" ht="15.75" customHeight="1">
      <c r="C143" s="169"/>
    </row>
    <row r="144" ht="15.75" customHeight="1">
      <c r="C144" s="169"/>
    </row>
    <row r="145" ht="15.75" customHeight="1">
      <c r="C145" s="169"/>
    </row>
    <row r="146" ht="15.75" customHeight="1">
      <c r="C146" s="169"/>
    </row>
    <row r="147" ht="15.75" customHeight="1">
      <c r="C147" s="169"/>
    </row>
    <row r="148" ht="15.75" customHeight="1">
      <c r="C148" s="169"/>
    </row>
    <row r="149" ht="15.75" customHeight="1">
      <c r="C149" s="169"/>
    </row>
    <row r="150" ht="15.75" customHeight="1">
      <c r="C150" s="169"/>
    </row>
    <row r="151" ht="15.75" customHeight="1">
      <c r="C151" s="169"/>
    </row>
    <row r="152" ht="15.75" customHeight="1">
      <c r="C152" s="169"/>
    </row>
    <row r="153" ht="15.75" customHeight="1">
      <c r="C153" s="169"/>
    </row>
    <row r="154" ht="15.75" customHeight="1">
      <c r="C154" s="169"/>
    </row>
    <row r="155" ht="15.75" customHeight="1">
      <c r="C155" s="169"/>
    </row>
    <row r="156" ht="15.75" customHeight="1">
      <c r="C156" s="169"/>
    </row>
    <row r="157" ht="15.75" customHeight="1">
      <c r="C157" s="169"/>
    </row>
    <row r="158" ht="15.75" customHeight="1">
      <c r="C158" s="169"/>
    </row>
    <row r="159" ht="15.75" customHeight="1">
      <c r="C159" s="169"/>
    </row>
    <row r="160" ht="15.75" customHeight="1">
      <c r="C160" s="169"/>
    </row>
    <row r="161" ht="15.75" customHeight="1">
      <c r="C161" s="169"/>
    </row>
    <row r="162" ht="15.75" customHeight="1">
      <c r="C162" s="169"/>
    </row>
    <row r="163" ht="15.75" customHeight="1">
      <c r="C163" s="169"/>
    </row>
    <row r="164" ht="15.75" customHeight="1">
      <c r="C164" s="169"/>
    </row>
    <row r="165" ht="15.75" customHeight="1">
      <c r="C165" s="169"/>
    </row>
    <row r="166" ht="15.75" customHeight="1">
      <c r="C166" s="169"/>
    </row>
    <row r="167" ht="15.75" customHeight="1">
      <c r="C167" s="169"/>
    </row>
    <row r="168" ht="15.75" customHeight="1">
      <c r="C168" s="169"/>
    </row>
    <row r="169" ht="15.75" customHeight="1">
      <c r="C169" s="169"/>
    </row>
    <row r="170" ht="15.75" customHeight="1">
      <c r="C170" s="169"/>
    </row>
    <row r="171" ht="15.75" customHeight="1">
      <c r="C171" s="169"/>
    </row>
    <row r="172" ht="15.75" customHeight="1">
      <c r="C172" s="169"/>
    </row>
    <row r="173" ht="15.75" customHeight="1">
      <c r="C173" s="169"/>
    </row>
    <row r="174" ht="15.75" customHeight="1">
      <c r="C174" s="169"/>
    </row>
    <row r="175" ht="15.75" customHeight="1">
      <c r="C175" s="169"/>
    </row>
    <row r="176" ht="15.75" customHeight="1">
      <c r="C176" s="169"/>
    </row>
    <row r="177" ht="15.75" customHeight="1">
      <c r="C177" s="169"/>
    </row>
    <row r="178" ht="15.75" customHeight="1">
      <c r="C178" s="169"/>
    </row>
    <row r="179" ht="15.75" customHeight="1">
      <c r="C179" s="169"/>
    </row>
    <row r="180" ht="15.75" customHeight="1">
      <c r="C180" s="169"/>
    </row>
    <row r="181" ht="15.75" customHeight="1">
      <c r="C181" s="169"/>
    </row>
    <row r="182" ht="15.75" customHeight="1">
      <c r="C182" s="169"/>
    </row>
    <row r="183" ht="15.75" customHeight="1">
      <c r="C183" s="169"/>
    </row>
    <row r="184" ht="15.75" customHeight="1">
      <c r="C184" s="169"/>
    </row>
    <row r="185" ht="15.75" customHeight="1">
      <c r="C185" s="169"/>
    </row>
    <row r="186" ht="15.75" customHeight="1">
      <c r="C186" s="169"/>
    </row>
    <row r="187" ht="15.75" customHeight="1">
      <c r="C187" s="169"/>
    </row>
    <row r="188" ht="15.75" customHeight="1">
      <c r="C188" s="169"/>
    </row>
    <row r="189" ht="15.75" customHeight="1">
      <c r="C189" s="169"/>
    </row>
    <row r="190" ht="15.75" customHeight="1">
      <c r="C190" s="169"/>
    </row>
    <row r="191" ht="15.75" customHeight="1">
      <c r="C191" s="169"/>
    </row>
    <row r="192" ht="15.75" customHeight="1">
      <c r="C192" s="169"/>
    </row>
    <row r="193" ht="15.75" customHeight="1">
      <c r="C193" s="169"/>
    </row>
    <row r="194" ht="15.75" customHeight="1">
      <c r="C194" s="169"/>
    </row>
    <row r="195" ht="15.75" customHeight="1">
      <c r="C195" s="169"/>
    </row>
    <row r="196" ht="15.75" customHeight="1">
      <c r="C196" s="169"/>
    </row>
    <row r="197" ht="15.75" customHeight="1">
      <c r="C197" s="169"/>
    </row>
    <row r="198" ht="15.75" customHeight="1">
      <c r="C198" s="169"/>
    </row>
    <row r="199" ht="15.75" customHeight="1">
      <c r="C199" s="169"/>
    </row>
    <row r="200" ht="15.75" customHeight="1">
      <c r="C200" s="169"/>
    </row>
    <row r="201" ht="15.75" customHeight="1">
      <c r="C201" s="169"/>
    </row>
    <row r="202" ht="15.75" customHeight="1">
      <c r="C202" s="169"/>
    </row>
    <row r="203" ht="15.75" customHeight="1">
      <c r="C203" s="169"/>
    </row>
    <row r="204" ht="15.75" customHeight="1">
      <c r="C204" s="169"/>
    </row>
    <row r="205" ht="15.75" customHeight="1">
      <c r="C205" s="169"/>
    </row>
    <row r="206" ht="15.75" customHeight="1">
      <c r="C206" s="169"/>
    </row>
    <row r="207" ht="15.75" customHeight="1">
      <c r="C207" s="169"/>
    </row>
    <row r="208" ht="15.75" customHeight="1">
      <c r="C208" s="169"/>
    </row>
    <row r="209" ht="15.75" customHeight="1">
      <c r="C209" s="169"/>
    </row>
    <row r="210" ht="15.75" customHeight="1">
      <c r="C210" s="169"/>
    </row>
    <row r="211" ht="15.75" customHeight="1">
      <c r="C211" s="169"/>
    </row>
    <row r="212" ht="15.75" customHeight="1">
      <c r="C212" s="169"/>
    </row>
    <row r="213" ht="15.75" customHeight="1">
      <c r="C213" s="169"/>
    </row>
    <row r="214" ht="15.75" customHeight="1">
      <c r="C214" s="169"/>
    </row>
    <row r="215" ht="15.75" customHeight="1">
      <c r="C215" s="169"/>
    </row>
    <row r="216" ht="15.75" customHeight="1">
      <c r="C216" s="169"/>
    </row>
    <row r="217" ht="15.75" customHeight="1">
      <c r="C217" s="169"/>
    </row>
    <row r="218" ht="15.75" customHeight="1">
      <c r="C218" s="169"/>
    </row>
    <row r="219" ht="15.75" customHeight="1">
      <c r="C219" s="169"/>
    </row>
    <row r="220" ht="15.75" customHeight="1">
      <c r="C220" s="16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B2"/>
    <mergeCell ref="C1:C2"/>
  </mergeCells>
  <hyperlinks>
    <hyperlink display="Implementation Checklist" location="'SEO Implementation Checklist'!A1" ref="A1"/>
    <hyperlink r:id="rId1" location="heading=h.v8zhdx6enu9y" ref="B1"/>
    <hyperlink display="Priorities &amp; Status" location="'Priorities &amp; Status'!A1" ref="A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13"/>
    <col customWidth="1" min="2" max="2" width="56.25"/>
    <col customWidth="1" min="3" max="6" width="12.63"/>
  </cols>
  <sheetData>
    <row r="1">
      <c r="A1" s="140" t="s">
        <v>370</v>
      </c>
      <c r="B1" s="167" t="s">
        <v>371</v>
      </c>
    </row>
    <row r="2">
      <c r="A2" s="140" t="s">
        <v>372</v>
      </c>
    </row>
    <row r="3">
      <c r="A3" s="143" t="s">
        <v>378</v>
      </c>
      <c r="B3" s="143" t="s">
        <v>376</v>
      </c>
    </row>
    <row r="4">
      <c r="A4" s="170"/>
    </row>
    <row r="5">
      <c r="A5" s="170"/>
    </row>
    <row r="6">
      <c r="A6" s="170"/>
    </row>
    <row r="7">
      <c r="A7" s="17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61.5"/>
    <col customWidth="1" min="3" max="3" width="27.0"/>
    <col customWidth="1" min="4" max="6" width="12.63"/>
  </cols>
  <sheetData>
    <row r="1">
      <c r="A1" s="140" t="s">
        <v>370</v>
      </c>
      <c r="B1" s="167" t="s">
        <v>371</v>
      </c>
      <c r="C1" s="160"/>
    </row>
    <row r="2">
      <c r="A2" s="140" t="s">
        <v>372</v>
      </c>
      <c r="C2" s="160"/>
    </row>
    <row r="3">
      <c r="A3" s="143" t="s">
        <v>378</v>
      </c>
      <c r="B3" s="143" t="s">
        <v>403</v>
      </c>
      <c r="C3" s="143" t="s">
        <v>388</v>
      </c>
    </row>
    <row r="4">
      <c r="C4" s="15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25"/>
    <col customWidth="1" min="2" max="2" width="61.0"/>
    <col customWidth="1" min="3" max="3" width="55.5"/>
    <col customWidth="1" min="4" max="6" width="12.63"/>
  </cols>
  <sheetData>
    <row r="1">
      <c r="A1" s="140" t="s">
        <v>370</v>
      </c>
      <c r="B1" s="167" t="s">
        <v>371</v>
      </c>
      <c r="C1" s="160"/>
    </row>
    <row r="2">
      <c r="A2" s="140" t="s">
        <v>372</v>
      </c>
      <c r="C2" s="160"/>
    </row>
    <row r="3">
      <c r="A3" s="143" t="s">
        <v>378</v>
      </c>
      <c r="B3" s="143" t="s">
        <v>404</v>
      </c>
      <c r="C3" s="143" t="s">
        <v>405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m0bld7286wue" ref="B1"/>
    <hyperlink display="Priorities &amp; Status" location="'Priorities &amp; Status'!A1" ref="A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69.75"/>
    <col customWidth="1" min="3" max="3" width="69.38"/>
    <col customWidth="1" min="4" max="6" width="12.63"/>
  </cols>
  <sheetData>
    <row r="1">
      <c r="A1" s="140" t="s">
        <v>370</v>
      </c>
      <c r="B1" s="167" t="s">
        <v>371</v>
      </c>
      <c r="C1" s="150"/>
    </row>
    <row r="2">
      <c r="A2" s="140" t="s">
        <v>372</v>
      </c>
      <c r="C2" s="150"/>
    </row>
    <row r="3">
      <c r="A3" s="143" t="s">
        <v>382</v>
      </c>
      <c r="B3" s="143" t="s">
        <v>383</v>
      </c>
      <c r="C3" s="143" t="s">
        <v>406</v>
      </c>
    </row>
    <row r="4">
      <c r="A4" s="174"/>
      <c r="B4" s="174"/>
    </row>
    <row r="5">
      <c r="A5" s="175"/>
      <c r="B5" s="175"/>
    </row>
    <row r="6">
      <c r="A6" s="175"/>
      <c r="B6" s="175"/>
    </row>
    <row r="7">
      <c r="A7" s="175"/>
      <c r="B7" s="175"/>
    </row>
    <row r="8">
      <c r="A8" s="175"/>
      <c r="B8" s="175"/>
    </row>
    <row r="9">
      <c r="A9" s="175"/>
      <c r="B9" s="175"/>
    </row>
    <row r="10">
      <c r="A10" s="175"/>
      <c r="B10" s="175"/>
    </row>
    <row r="11">
      <c r="A11" s="175"/>
      <c r="B11" s="175"/>
    </row>
    <row r="12">
      <c r="A12" s="175"/>
      <c r="B12" s="175"/>
    </row>
    <row r="13">
      <c r="A13" s="175"/>
      <c r="B13" s="175"/>
    </row>
    <row r="14">
      <c r="A14" s="175"/>
      <c r="B14" s="175"/>
    </row>
    <row r="15">
      <c r="A15" s="175"/>
      <c r="B15" s="175"/>
    </row>
    <row r="16">
      <c r="A16" s="175"/>
      <c r="B16" s="175"/>
    </row>
    <row r="17">
      <c r="A17" s="175"/>
      <c r="B17" s="175"/>
    </row>
    <row r="18">
      <c r="A18" s="175"/>
      <c r="B18" s="175"/>
    </row>
    <row r="19">
      <c r="A19" s="175"/>
      <c r="B19" s="175"/>
    </row>
    <row r="20">
      <c r="A20" s="175"/>
      <c r="B20" s="175"/>
    </row>
    <row r="21" ht="15.75" customHeight="1">
      <c r="A21" s="175"/>
      <c r="B21" s="175"/>
    </row>
    <row r="22" ht="15.75" customHeight="1">
      <c r="A22" s="175"/>
      <c r="B22" s="175"/>
    </row>
    <row r="23" ht="15.75" customHeight="1">
      <c r="A23" s="175"/>
      <c r="B23" s="175"/>
    </row>
    <row r="24" ht="15.75" customHeight="1">
      <c r="A24" s="175"/>
      <c r="B24" s="175"/>
    </row>
    <row r="25" ht="15.75" customHeight="1">
      <c r="A25" s="175"/>
      <c r="B25" s="175"/>
    </row>
    <row r="26" ht="15.75" customHeight="1">
      <c r="A26" s="175"/>
      <c r="B26" s="175"/>
    </row>
    <row r="27" ht="15.75" customHeight="1">
      <c r="A27" s="175"/>
      <c r="B27" s="175"/>
    </row>
    <row r="28" ht="15.75" customHeight="1">
      <c r="A28" s="175"/>
      <c r="B28" s="175"/>
    </row>
    <row r="29" ht="15.75" customHeight="1">
      <c r="A29" s="175"/>
      <c r="B29" s="175"/>
    </row>
    <row r="30" ht="15.75" customHeight="1">
      <c r="A30" s="175"/>
      <c r="B30" s="175"/>
    </row>
    <row r="31" ht="15.75" customHeight="1">
      <c r="A31" s="175"/>
      <c r="B31" s="175"/>
    </row>
    <row r="32" ht="15.75" customHeight="1">
      <c r="A32" s="175"/>
      <c r="B32" s="175"/>
    </row>
    <row r="33" ht="15.75" customHeight="1">
      <c r="A33" s="175"/>
      <c r="B33" s="175"/>
    </row>
    <row r="34" ht="15.75" customHeight="1">
      <c r="A34" s="175"/>
      <c r="B34" s="175"/>
    </row>
    <row r="35" ht="15.75" customHeight="1">
      <c r="A35" s="175"/>
      <c r="B35" s="175"/>
    </row>
    <row r="36" ht="15.75" customHeight="1">
      <c r="A36" s="175"/>
      <c r="B36" s="175"/>
    </row>
    <row r="37" ht="15.75" customHeight="1">
      <c r="A37" s="175"/>
      <c r="B37" s="175"/>
    </row>
    <row r="38" ht="15.75" customHeight="1">
      <c r="A38" s="175"/>
      <c r="B38" s="175"/>
    </row>
    <row r="39" ht="15.75" customHeight="1">
      <c r="A39" s="175"/>
      <c r="B39" s="175"/>
    </row>
    <row r="40" ht="15.75" customHeight="1">
      <c r="A40" s="175"/>
      <c r="B40" s="175"/>
    </row>
    <row r="41" ht="15.75" customHeight="1">
      <c r="A41" s="175"/>
      <c r="B41" s="175"/>
    </row>
    <row r="42" ht="15.75" customHeight="1">
      <c r="A42" s="175"/>
      <c r="B42" s="175"/>
    </row>
    <row r="43" ht="15.75" customHeight="1">
      <c r="A43" s="175"/>
      <c r="B43" s="175"/>
    </row>
    <row r="44" ht="15.75" customHeight="1">
      <c r="A44" s="175"/>
      <c r="B44" s="175"/>
    </row>
    <row r="45" ht="15.75" customHeight="1">
      <c r="A45" s="175"/>
      <c r="B45" s="175"/>
    </row>
    <row r="46" ht="15.75" customHeight="1">
      <c r="A46" s="175"/>
      <c r="B46" s="175"/>
    </row>
    <row r="47" ht="15.75" customHeight="1">
      <c r="A47" s="175"/>
      <c r="B47" s="175"/>
    </row>
    <row r="48" ht="15.75" customHeight="1">
      <c r="A48" s="175"/>
      <c r="B48" s="175"/>
    </row>
    <row r="49" ht="15.75" customHeight="1">
      <c r="A49" s="175"/>
      <c r="B49" s="175"/>
    </row>
    <row r="50" ht="15.75" customHeight="1">
      <c r="A50" s="175"/>
      <c r="B50" s="175"/>
    </row>
    <row r="51" ht="15.75" customHeight="1">
      <c r="A51" s="175"/>
      <c r="B51" s="175"/>
    </row>
    <row r="52" ht="15.75" customHeight="1">
      <c r="A52" s="175"/>
      <c r="B52" s="175"/>
    </row>
    <row r="53" ht="15.75" customHeight="1">
      <c r="A53" s="175"/>
      <c r="B53" s="175"/>
    </row>
    <row r="54" ht="15.75" customHeight="1">
      <c r="A54" s="175"/>
      <c r="B54" s="175"/>
    </row>
    <row r="55" ht="15.75" customHeight="1">
      <c r="A55" s="175"/>
      <c r="B55" s="175"/>
    </row>
    <row r="56" ht="15.75" customHeight="1">
      <c r="A56" s="175"/>
      <c r="B56" s="175"/>
    </row>
    <row r="57" ht="15.75" customHeight="1">
      <c r="A57" s="175"/>
      <c r="B57" s="175"/>
    </row>
    <row r="58" ht="15.75" customHeight="1">
      <c r="A58" s="175"/>
      <c r="B58" s="175"/>
    </row>
    <row r="59" ht="15.75" customHeight="1">
      <c r="A59" s="175"/>
      <c r="B59" s="175"/>
    </row>
    <row r="60" ht="15.75" customHeight="1">
      <c r="A60" s="175"/>
      <c r="B60" s="175"/>
    </row>
    <row r="61" ht="15.75" customHeight="1">
      <c r="A61" s="175"/>
      <c r="B61" s="175"/>
    </row>
    <row r="62" ht="15.75" customHeight="1">
      <c r="A62" s="175"/>
      <c r="B62" s="176"/>
    </row>
    <row r="63" ht="15.75" customHeight="1">
      <c r="A63" s="175"/>
      <c r="B63" s="175"/>
    </row>
    <row r="64" ht="15.75" customHeight="1">
      <c r="A64" s="175"/>
      <c r="B64" s="175"/>
    </row>
    <row r="65" ht="15.75" customHeight="1">
      <c r="A65" s="175"/>
      <c r="B65" s="176"/>
    </row>
    <row r="66" ht="15.75" customHeight="1">
      <c r="A66" s="175"/>
      <c r="B66" s="176"/>
    </row>
    <row r="67" ht="15.75" customHeight="1">
      <c r="A67" s="175"/>
      <c r="B67" s="176"/>
    </row>
    <row r="68" ht="15.75" customHeight="1">
      <c r="A68" s="175"/>
      <c r="B68" s="175"/>
    </row>
    <row r="69" ht="15.75" customHeight="1">
      <c r="A69" s="175"/>
      <c r="B69" s="175"/>
    </row>
    <row r="70" ht="15.75" customHeight="1">
      <c r="A70" s="175"/>
      <c r="B70" s="175"/>
    </row>
    <row r="71" ht="15.75" customHeight="1">
      <c r="A71" s="175"/>
      <c r="B71" s="175"/>
    </row>
    <row r="72" ht="15.75" customHeight="1">
      <c r="A72" s="175"/>
      <c r="B72" s="175"/>
    </row>
    <row r="73" ht="15.75" customHeight="1">
      <c r="A73" s="175"/>
      <c r="B73" s="175"/>
    </row>
    <row r="74" ht="15.75" customHeight="1">
      <c r="A74" s="175"/>
      <c r="B74" s="175"/>
    </row>
    <row r="75" ht="15.75" customHeight="1">
      <c r="A75" s="175"/>
      <c r="B75" s="175"/>
    </row>
    <row r="76" ht="15.75" customHeight="1">
      <c r="A76" s="175"/>
      <c r="B76" s="175"/>
    </row>
    <row r="77" ht="15.75" customHeight="1">
      <c r="A77" s="175"/>
      <c r="B77" s="175"/>
    </row>
    <row r="78" ht="15.75" customHeight="1">
      <c r="A78" s="175"/>
      <c r="B78" s="175"/>
    </row>
    <row r="79" ht="15.75" customHeight="1">
      <c r="A79" s="175"/>
      <c r="B79" s="175"/>
    </row>
    <row r="80" ht="15.75" customHeight="1">
      <c r="A80" s="175"/>
      <c r="B80" s="175"/>
    </row>
    <row r="81" ht="15.75" customHeight="1">
      <c r="A81" s="175"/>
      <c r="B81" s="175"/>
    </row>
    <row r="82" ht="15.75" customHeight="1">
      <c r="A82" s="175"/>
      <c r="B82" s="175"/>
    </row>
    <row r="83" ht="15.75" customHeight="1">
      <c r="A83" s="175"/>
      <c r="B83" s="175"/>
    </row>
    <row r="84" ht="15.75" customHeight="1">
      <c r="A84" s="175"/>
      <c r="B84" s="175"/>
    </row>
    <row r="85" ht="15.75" customHeight="1">
      <c r="A85" s="175"/>
      <c r="B85" s="175"/>
    </row>
    <row r="86" ht="15.75" customHeight="1">
      <c r="A86" s="175"/>
      <c r="B86" s="175"/>
    </row>
    <row r="87" ht="15.75" customHeight="1">
      <c r="A87" s="175"/>
      <c r="B87" s="175"/>
    </row>
    <row r="88" ht="15.75" customHeight="1">
      <c r="A88" s="175"/>
      <c r="B88" s="175"/>
    </row>
    <row r="89" ht="15.75" customHeight="1">
      <c r="A89" s="175"/>
      <c r="B89" s="175"/>
    </row>
    <row r="90" ht="15.75" customHeight="1">
      <c r="A90" s="175"/>
      <c r="B90" s="175"/>
    </row>
    <row r="91" ht="15.75" customHeight="1">
      <c r="A91" s="175"/>
      <c r="B91" s="175"/>
    </row>
    <row r="92" ht="15.75" customHeight="1">
      <c r="A92" s="175"/>
      <c r="B92" s="175"/>
    </row>
    <row r="93" ht="15.75" customHeight="1">
      <c r="A93" s="175"/>
      <c r="B93" s="175"/>
    </row>
    <row r="94" ht="15.75" customHeight="1">
      <c r="A94" s="175"/>
      <c r="B94" s="175"/>
    </row>
    <row r="95" ht="15.75" customHeight="1">
      <c r="A95" s="175"/>
      <c r="B95" s="175"/>
    </row>
    <row r="96" ht="15.75" customHeight="1">
      <c r="A96" s="175"/>
      <c r="B96" s="175"/>
    </row>
    <row r="97" ht="15.75" customHeight="1">
      <c r="A97" s="175"/>
      <c r="B97" s="175"/>
    </row>
    <row r="98" ht="15.75" customHeight="1">
      <c r="A98" s="175"/>
      <c r="B98" s="175"/>
    </row>
    <row r="99" ht="15.75" customHeight="1">
      <c r="A99" s="175"/>
      <c r="B99" s="175"/>
    </row>
    <row r="100" ht="15.75" customHeight="1">
      <c r="A100" s="175"/>
      <c r="B100" s="175"/>
    </row>
    <row r="101" ht="15.75" customHeight="1">
      <c r="A101" s="175"/>
      <c r="B101" s="175"/>
    </row>
    <row r="102" ht="15.75" customHeight="1">
      <c r="A102" s="175"/>
      <c r="B102" s="175"/>
    </row>
    <row r="103" ht="15.75" customHeight="1">
      <c r="A103" s="175"/>
      <c r="B103" s="175"/>
    </row>
    <row r="104" ht="15.75" customHeight="1">
      <c r="A104" s="175"/>
      <c r="B104" s="175"/>
    </row>
    <row r="105" ht="15.75" customHeight="1">
      <c r="A105" s="175"/>
      <c r="B105" s="175"/>
    </row>
    <row r="106" ht="15.75" customHeight="1">
      <c r="A106" s="175"/>
      <c r="B106" s="175"/>
    </row>
    <row r="107" ht="15.75" customHeight="1">
      <c r="A107" s="175"/>
      <c r="B107" s="175"/>
    </row>
    <row r="108" ht="15.75" customHeight="1">
      <c r="A108" s="175"/>
      <c r="B108" s="175"/>
    </row>
    <row r="109" ht="15.75" customHeight="1">
      <c r="A109" s="175"/>
      <c r="B109" s="175"/>
    </row>
    <row r="110" ht="15.75" customHeight="1">
      <c r="A110" s="175"/>
      <c r="B110" s="175"/>
    </row>
    <row r="111" ht="15.75" customHeight="1">
      <c r="A111" s="175"/>
      <c r="B111" s="175"/>
    </row>
    <row r="112" ht="15.75" customHeight="1">
      <c r="A112" s="175"/>
      <c r="B112" s="175"/>
    </row>
    <row r="113" ht="15.75" customHeight="1">
      <c r="A113" s="175"/>
      <c r="B113" s="175"/>
    </row>
    <row r="114" ht="15.75" customHeight="1">
      <c r="A114" s="175"/>
      <c r="B114" s="175"/>
    </row>
    <row r="115" ht="15.75" customHeight="1">
      <c r="A115" s="175"/>
      <c r="B115" s="175"/>
    </row>
    <row r="116" ht="15.75" customHeight="1">
      <c r="A116" s="175"/>
      <c r="B116" s="175"/>
    </row>
    <row r="117" ht="15.75" customHeight="1">
      <c r="A117" s="175"/>
      <c r="B117" s="175"/>
    </row>
    <row r="118" ht="15.75" customHeight="1">
      <c r="A118" s="175"/>
      <c r="B118" s="175"/>
    </row>
    <row r="119" ht="15.75" customHeight="1">
      <c r="A119" s="175"/>
      <c r="B119" s="175"/>
    </row>
    <row r="120" ht="15.75" customHeight="1">
      <c r="A120" s="175"/>
      <c r="B120" s="175"/>
    </row>
    <row r="121" ht="15.75" customHeight="1">
      <c r="A121" s="175"/>
      <c r="B121" s="175"/>
    </row>
    <row r="122" ht="15.75" customHeight="1">
      <c r="A122" s="175"/>
      <c r="B122" s="175"/>
    </row>
    <row r="123" ht="15.75" customHeight="1">
      <c r="A123" s="175"/>
      <c r="B123" s="175"/>
    </row>
    <row r="124" ht="15.75" customHeight="1">
      <c r="A124" s="175"/>
      <c r="B124" s="175"/>
    </row>
    <row r="125" ht="15.75" customHeight="1">
      <c r="A125" s="175"/>
      <c r="B125" s="175"/>
    </row>
    <row r="126" ht="15.75" customHeight="1">
      <c r="A126" s="175"/>
      <c r="B126" s="175"/>
    </row>
    <row r="127" ht="15.75" customHeight="1">
      <c r="A127" s="175"/>
      <c r="B127" s="175"/>
    </row>
    <row r="128" ht="15.75" customHeight="1">
      <c r="A128" s="175"/>
      <c r="B128" s="175"/>
    </row>
    <row r="129" ht="15.75" customHeight="1">
      <c r="A129" s="175"/>
      <c r="B129" s="175"/>
    </row>
    <row r="130" ht="15.75" customHeight="1">
      <c r="A130" s="175"/>
      <c r="B130" s="175"/>
    </row>
    <row r="131" ht="15.75" customHeight="1">
      <c r="A131" s="175"/>
      <c r="B131" s="175"/>
    </row>
    <row r="132" ht="15.75" customHeight="1">
      <c r="A132" s="175"/>
      <c r="B132" s="175"/>
    </row>
    <row r="133" ht="15.75" customHeight="1">
      <c r="A133" s="175"/>
      <c r="B133" s="175"/>
    </row>
    <row r="134" ht="15.75" customHeight="1">
      <c r="A134" s="175"/>
      <c r="B134" s="175"/>
    </row>
    <row r="135" ht="15.75" customHeight="1">
      <c r="A135" s="175"/>
      <c r="B135" s="175"/>
    </row>
    <row r="136" ht="15.75" customHeight="1">
      <c r="A136" s="175"/>
      <c r="B136" s="175"/>
    </row>
    <row r="137" ht="15.75" customHeight="1">
      <c r="A137" s="175"/>
      <c r="B137" s="175"/>
    </row>
    <row r="138" ht="15.75" customHeight="1">
      <c r="A138" s="175"/>
      <c r="B138" s="175"/>
    </row>
    <row r="139" ht="15.75" customHeight="1">
      <c r="A139" s="175"/>
      <c r="B139" s="175"/>
    </row>
    <row r="140" ht="15.75" customHeight="1">
      <c r="A140" s="175"/>
      <c r="B140" s="175"/>
    </row>
    <row r="141" ht="15.75" customHeight="1">
      <c r="A141" s="175"/>
      <c r="B141" s="175"/>
    </row>
    <row r="142" ht="15.75" customHeight="1">
      <c r="A142" s="175"/>
      <c r="B142" s="175"/>
    </row>
    <row r="143" ht="15.75" customHeight="1">
      <c r="A143" s="175"/>
      <c r="B143" s="175"/>
    </row>
    <row r="144" ht="15.75" customHeight="1">
      <c r="A144" s="175"/>
      <c r="B144" s="175"/>
    </row>
    <row r="145" ht="15.75" customHeight="1">
      <c r="A145" s="175"/>
      <c r="B145" s="175"/>
    </row>
    <row r="146" ht="15.75" customHeight="1">
      <c r="A146" s="175"/>
      <c r="B146" s="175"/>
    </row>
    <row r="147" ht="15.75" customHeight="1">
      <c r="A147" s="175"/>
      <c r="B147" s="175"/>
    </row>
    <row r="148" ht="15.75" customHeight="1">
      <c r="A148" s="175"/>
      <c r="B148" s="175"/>
    </row>
    <row r="149" ht="15.75" customHeight="1">
      <c r="A149" s="175"/>
      <c r="B149" s="175"/>
    </row>
    <row r="150" ht="15.75" customHeight="1">
      <c r="A150" s="175"/>
      <c r="B150" s="175"/>
    </row>
    <row r="151" ht="15.75" customHeight="1">
      <c r="A151" s="175"/>
      <c r="B151" s="175"/>
    </row>
    <row r="152" ht="15.75" customHeight="1">
      <c r="A152" s="175"/>
      <c r="B152" s="175"/>
    </row>
    <row r="153" ht="15.75" customHeight="1">
      <c r="A153" s="175"/>
      <c r="B153" s="175"/>
    </row>
    <row r="154" ht="15.75" customHeight="1">
      <c r="A154" s="175"/>
      <c r="B154" s="175"/>
    </row>
    <row r="155" ht="15.75" customHeight="1">
      <c r="A155" s="175"/>
      <c r="B155" s="175"/>
    </row>
    <row r="156" ht="15.75" customHeight="1">
      <c r="A156" s="175"/>
      <c r="B156" s="175"/>
    </row>
    <row r="157" ht="15.75" customHeight="1">
      <c r="A157" s="175"/>
      <c r="B157" s="175"/>
    </row>
    <row r="158" ht="15.75" customHeight="1">
      <c r="A158" s="175"/>
      <c r="B158" s="175"/>
    </row>
    <row r="159" ht="15.75" customHeight="1">
      <c r="A159" s="175"/>
      <c r="B159" s="175"/>
    </row>
    <row r="160" ht="15.75" customHeight="1">
      <c r="A160" s="175"/>
      <c r="B160" s="175"/>
    </row>
    <row r="161" ht="15.75" customHeight="1">
      <c r="A161" s="175"/>
      <c r="B161" s="175"/>
    </row>
    <row r="162" ht="15.75" customHeight="1">
      <c r="A162" s="175"/>
      <c r="B162" s="175"/>
    </row>
    <row r="163" ht="15.75" customHeight="1">
      <c r="A163" s="175"/>
      <c r="B163" s="175"/>
    </row>
    <row r="164" ht="15.75" customHeight="1">
      <c r="A164" s="175"/>
      <c r="B164" s="175"/>
    </row>
    <row r="165" ht="15.75" customHeight="1">
      <c r="A165" s="175"/>
      <c r="B165" s="175"/>
    </row>
    <row r="166" ht="15.75" customHeight="1">
      <c r="A166" s="175"/>
      <c r="B166" s="175"/>
    </row>
    <row r="167" ht="15.75" customHeight="1">
      <c r="A167" s="175"/>
      <c r="B167" s="175"/>
    </row>
    <row r="168" ht="15.75" customHeight="1">
      <c r="A168" s="175"/>
      <c r="B168" s="175"/>
    </row>
    <row r="169" ht="15.75" customHeight="1">
      <c r="A169" s="175"/>
      <c r="B169" s="175"/>
    </row>
    <row r="170" ht="15.75" customHeight="1">
      <c r="A170" s="175"/>
      <c r="B170" s="175"/>
    </row>
    <row r="171" ht="15.75" customHeight="1">
      <c r="A171" s="175"/>
      <c r="B171" s="175"/>
    </row>
    <row r="172" ht="15.75" customHeight="1">
      <c r="A172" s="175"/>
      <c r="B172" s="175"/>
    </row>
    <row r="173" ht="15.75" customHeight="1">
      <c r="A173" s="175"/>
      <c r="B173" s="175"/>
    </row>
    <row r="174" ht="15.75" customHeight="1">
      <c r="A174" s="175"/>
      <c r="B174" s="175"/>
    </row>
    <row r="175" ht="15.75" customHeight="1">
      <c r="A175" s="175"/>
      <c r="B175" s="175"/>
    </row>
    <row r="176" ht="15.75" customHeight="1">
      <c r="A176" s="175"/>
      <c r="B176" s="175"/>
    </row>
    <row r="177" ht="15.75" customHeight="1">
      <c r="A177" s="175"/>
      <c r="B177" s="175"/>
    </row>
    <row r="178" ht="15.75" customHeight="1">
      <c r="A178" s="175"/>
      <c r="B178" s="175"/>
    </row>
    <row r="179" ht="15.75" customHeight="1">
      <c r="A179" s="175"/>
      <c r="B179" s="175"/>
    </row>
    <row r="180" ht="15.75" customHeight="1">
      <c r="A180" s="175"/>
      <c r="B180" s="175"/>
    </row>
    <row r="181" ht="15.75" customHeight="1">
      <c r="A181" s="175"/>
      <c r="B181" s="175"/>
    </row>
    <row r="182" ht="15.75" customHeight="1">
      <c r="A182" s="175"/>
      <c r="B182" s="175"/>
    </row>
    <row r="183" ht="15.75" customHeight="1">
      <c r="A183" s="175"/>
      <c r="B183" s="175"/>
    </row>
    <row r="184" ht="15.75" customHeight="1">
      <c r="A184" s="175"/>
      <c r="B184" s="175"/>
    </row>
    <row r="185" ht="15.75" customHeight="1">
      <c r="A185" s="175"/>
      <c r="B185" s="175"/>
    </row>
    <row r="186" ht="15.75" customHeight="1">
      <c r="A186" s="175"/>
      <c r="B186" s="175"/>
    </row>
    <row r="187" ht="15.75" customHeight="1">
      <c r="A187" s="175"/>
      <c r="B187" s="175"/>
    </row>
    <row r="188" ht="15.75" customHeight="1">
      <c r="A188" s="175"/>
      <c r="B188" s="175"/>
    </row>
    <row r="189" ht="15.75" customHeight="1">
      <c r="A189" s="175"/>
      <c r="B189" s="175"/>
    </row>
    <row r="190" ht="15.75" customHeight="1">
      <c r="A190" s="175"/>
      <c r="B190" s="175"/>
    </row>
    <row r="191" ht="15.75" customHeight="1">
      <c r="A191" s="175"/>
      <c r="B191" s="175"/>
    </row>
    <row r="192" ht="15.75" customHeight="1">
      <c r="A192" s="175"/>
      <c r="B192" s="175"/>
    </row>
    <row r="193" ht="15.75" customHeight="1">
      <c r="A193" s="175"/>
      <c r="B193" s="175"/>
    </row>
    <row r="194" ht="15.75" customHeight="1">
      <c r="A194" s="175"/>
      <c r="B194" s="175"/>
    </row>
    <row r="195" ht="15.75" customHeight="1">
      <c r="A195" s="175"/>
      <c r="B195" s="175"/>
    </row>
    <row r="196" ht="15.75" customHeight="1">
      <c r="A196" s="175"/>
      <c r="B196" s="175"/>
    </row>
    <row r="197" ht="15.75" customHeight="1">
      <c r="A197" s="175"/>
      <c r="B197" s="175"/>
    </row>
    <row r="198" ht="15.75" customHeight="1">
      <c r="A198" s="175"/>
      <c r="B198" s="175"/>
    </row>
    <row r="199" ht="15.75" customHeight="1">
      <c r="A199" s="175"/>
      <c r="B199" s="175"/>
    </row>
    <row r="200" ht="15.75" customHeight="1">
      <c r="A200" s="175"/>
      <c r="B200" s="175"/>
    </row>
    <row r="201" ht="15.75" customHeight="1">
      <c r="A201" s="175"/>
      <c r="B201" s="175"/>
    </row>
    <row r="202" ht="15.75" customHeight="1">
      <c r="A202" s="175"/>
      <c r="B202" s="175"/>
    </row>
    <row r="203" ht="15.75" customHeight="1">
      <c r="A203" s="175"/>
      <c r="B203" s="175"/>
    </row>
    <row r="204" ht="15.75" customHeight="1">
      <c r="A204" s="175"/>
      <c r="B204" s="175"/>
    </row>
    <row r="205" ht="15.75" customHeight="1">
      <c r="A205" s="175"/>
      <c r="B205" s="175"/>
    </row>
    <row r="206" ht="15.75" customHeight="1">
      <c r="A206" s="175"/>
      <c r="B206" s="175"/>
    </row>
    <row r="207" ht="15.75" customHeight="1">
      <c r="A207" s="175"/>
      <c r="B207" s="175"/>
    </row>
    <row r="208" ht="15.75" customHeight="1">
      <c r="A208" s="175"/>
      <c r="B208" s="175"/>
    </row>
    <row r="209" ht="15.75" customHeight="1">
      <c r="A209" s="175"/>
      <c r="B209" s="175"/>
    </row>
    <row r="210" ht="15.75" customHeight="1">
      <c r="A210" s="175"/>
      <c r="B210" s="175"/>
    </row>
    <row r="211" ht="15.75" customHeight="1">
      <c r="A211" s="175"/>
      <c r="B211" s="175"/>
    </row>
    <row r="212" ht="15.75" customHeight="1">
      <c r="A212" s="175"/>
      <c r="B212" s="175"/>
    </row>
    <row r="213" ht="15.75" customHeight="1">
      <c r="A213" s="175"/>
      <c r="B213" s="175"/>
    </row>
    <row r="214" ht="15.75" customHeight="1">
      <c r="A214" s="175"/>
      <c r="B214" s="175"/>
    </row>
    <row r="215" ht="15.75" customHeight="1">
      <c r="A215" s="175"/>
      <c r="B215" s="175"/>
    </row>
    <row r="216" ht="15.75" customHeight="1">
      <c r="A216" s="175"/>
      <c r="B216" s="175"/>
    </row>
    <row r="217" ht="15.75" customHeight="1">
      <c r="A217" s="175"/>
      <c r="B217" s="175"/>
    </row>
    <row r="218" ht="15.75" customHeight="1">
      <c r="A218" s="175"/>
      <c r="B218" s="175"/>
    </row>
    <row r="219" ht="15.75" customHeight="1">
      <c r="A219" s="175"/>
      <c r="B219" s="175"/>
    </row>
    <row r="220" ht="15.75" customHeight="1">
      <c r="A220" s="175"/>
      <c r="B220" s="175"/>
    </row>
    <row r="221" ht="15.75" customHeight="1">
      <c r="A221" s="175"/>
      <c r="B221" s="175"/>
    </row>
    <row r="222" ht="15.75" customHeight="1">
      <c r="A222" s="175"/>
      <c r="B222" s="175"/>
    </row>
    <row r="223" ht="15.75" customHeight="1">
      <c r="A223" s="175"/>
      <c r="B223" s="175"/>
    </row>
    <row r="224" ht="15.75" customHeight="1">
      <c r="A224" s="175"/>
      <c r="B224" s="175"/>
    </row>
    <row r="225" ht="15.75" customHeight="1">
      <c r="A225" s="175"/>
      <c r="B225" s="175"/>
    </row>
    <row r="226" ht="15.75" customHeight="1">
      <c r="A226" s="175"/>
      <c r="B226" s="175"/>
    </row>
    <row r="227" ht="15.75" customHeight="1">
      <c r="A227" s="175"/>
      <c r="B227" s="175"/>
    </row>
    <row r="228" ht="15.75" customHeight="1">
      <c r="A228" s="175"/>
      <c r="B228" s="175"/>
    </row>
    <row r="229" ht="15.75" customHeight="1">
      <c r="A229" s="175"/>
      <c r="B229" s="175"/>
    </row>
    <row r="230" ht="15.75" customHeight="1">
      <c r="A230" s="175"/>
      <c r="B230" s="175"/>
    </row>
    <row r="231" ht="15.75" customHeight="1">
      <c r="A231" s="175"/>
      <c r="B231" s="175"/>
    </row>
    <row r="232" ht="15.75" customHeight="1">
      <c r="A232" s="175"/>
      <c r="B232" s="175"/>
    </row>
    <row r="233" ht="15.75" customHeight="1">
      <c r="A233" s="175"/>
      <c r="B233" s="175"/>
    </row>
    <row r="234" ht="15.75" customHeight="1">
      <c r="A234" s="175"/>
      <c r="B234" s="175"/>
    </row>
    <row r="235" ht="15.75" customHeight="1">
      <c r="A235" s="175"/>
      <c r="B235" s="175"/>
    </row>
    <row r="236" ht="15.75" customHeight="1">
      <c r="A236" s="175"/>
      <c r="B236" s="175"/>
    </row>
    <row r="237" ht="15.75" customHeight="1">
      <c r="A237" s="175"/>
      <c r="B237" s="175"/>
    </row>
    <row r="238" ht="15.75" customHeight="1">
      <c r="A238" s="175"/>
      <c r="B238" s="175"/>
    </row>
    <row r="239" ht="15.75" customHeight="1">
      <c r="A239" s="175"/>
      <c r="B239" s="175"/>
    </row>
    <row r="240" ht="15.75" customHeight="1">
      <c r="A240" s="175"/>
      <c r="B240" s="175"/>
    </row>
    <row r="241" ht="15.75" customHeight="1">
      <c r="A241" s="175"/>
      <c r="B241" s="175"/>
    </row>
    <row r="242" ht="15.75" customHeight="1">
      <c r="A242" s="175"/>
      <c r="B242" s="175"/>
    </row>
    <row r="243" ht="15.75" customHeight="1">
      <c r="A243" s="175"/>
      <c r="B243" s="175"/>
    </row>
    <row r="244" ht="15.75" customHeight="1">
      <c r="A244" s="175"/>
      <c r="B244" s="175"/>
    </row>
    <row r="245" ht="15.75" customHeight="1">
      <c r="A245" s="175"/>
      <c r="B245" s="175"/>
    </row>
    <row r="246" ht="15.75" customHeight="1">
      <c r="A246" s="175"/>
      <c r="B246" s="175"/>
    </row>
    <row r="247" ht="15.75" customHeight="1">
      <c r="A247" s="175"/>
      <c r="B247" s="175"/>
    </row>
    <row r="248" ht="15.75" customHeight="1">
      <c r="A248" s="175"/>
      <c r="B248" s="175"/>
    </row>
    <row r="249" ht="15.75" customHeight="1">
      <c r="A249" s="175"/>
      <c r="B249" s="175"/>
    </row>
    <row r="250" ht="15.75" customHeight="1">
      <c r="A250" s="175"/>
      <c r="B250" s="175"/>
    </row>
    <row r="251" ht="15.75" customHeight="1">
      <c r="A251" s="175"/>
      <c r="B251" s="175"/>
    </row>
    <row r="252" ht="15.75" customHeight="1">
      <c r="A252" s="175"/>
      <c r="B252" s="175"/>
    </row>
    <row r="253" ht="15.75" customHeight="1">
      <c r="A253" s="175"/>
      <c r="B253" s="175"/>
    </row>
    <row r="254" ht="15.75" customHeight="1">
      <c r="A254" s="175"/>
      <c r="B254" s="175"/>
    </row>
    <row r="255" ht="15.75" customHeight="1">
      <c r="A255" s="175"/>
      <c r="B255" s="175"/>
    </row>
    <row r="256" ht="15.75" customHeight="1">
      <c r="A256" s="175"/>
      <c r="B256" s="175"/>
    </row>
    <row r="257" ht="15.75" customHeight="1">
      <c r="A257" s="175"/>
      <c r="B257" s="175"/>
    </row>
    <row r="258" ht="15.75" customHeight="1">
      <c r="A258" s="175"/>
      <c r="B258" s="175"/>
    </row>
    <row r="259" ht="15.75" customHeight="1">
      <c r="A259" s="175"/>
      <c r="B259" s="175"/>
    </row>
    <row r="260" ht="15.75" customHeight="1">
      <c r="A260" s="175"/>
      <c r="B260" s="175"/>
    </row>
    <row r="261" ht="15.75" customHeight="1">
      <c r="A261" s="175"/>
      <c r="B261" s="175"/>
    </row>
    <row r="262" ht="15.75" customHeight="1">
      <c r="A262" s="175"/>
      <c r="B262" s="175"/>
    </row>
    <row r="263" ht="15.75" customHeight="1">
      <c r="A263" s="175"/>
      <c r="B263" s="175"/>
    </row>
    <row r="264" ht="15.75" customHeight="1">
      <c r="A264" s="175"/>
      <c r="B264" s="175"/>
    </row>
    <row r="265" ht="15.75" customHeight="1">
      <c r="A265" s="175"/>
      <c r="B265" s="175"/>
    </row>
    <row r="266" ht="15.75" customHeight="1">
      <c r="A266" s="175"/>
      <c r="B266" s="175"/>
    </row>
    <row r="267" ht="15.75" customHeight="1">
      <c r="A267" s="175"/>
      <c r="B267" s="175"/>
    </row>
    <row r="268" ht="15.75" customHeight="1">
      <c r="A268" s="175"/>
      <c r="B268" s="175"/>
    </row>
    <row r="269" ht="15.75" customHeight="1">
      <c r="A269" s="175"/>
      <c r="B269" s="175"/>
    </row>
    <row r="270" ht="15.75" customHeight="1">
      <c r="A270" s="175"/>
      <c r="B270" s="175"/>
    </row>
    <row r="271" ht="15.75" customHeight="1">
      <c r="A271" s="175"/>
      <c r="B271" s="175"/>
    </row>
    <row r="272" ht="15.75" customHeight="1">
      <c r="A272" s="175"/>
      <c r="B272" s="175"/>
    </row>
    <row r="273" ht="15.75" customHeight="1">
      <c r="A273" s="175"/>
      <c r="B273" s="175"/>
    </row>
    <row r="274" ht="15.75" customHeight="1">
      <c r="A274" s="175"/>
      <c r="B274" s="175"/>
    </row>
    <row r="275" ht="15.75" customHeight="1">
      <c r="A275" s="175"/>
      <c r="B275" s="175"/>
    </row>
    <row r="276" ht="15.75" customHeight="1">
      <c r="A276" s="175"/>
      <c r="B276" s="175"/>
    </row>
    <row r="277" ht="15.75" customHeight="1">
      <c r="A277" s="175"/>
      <c r="B277" s="175"/>
    </row>
    <row r="278" ht="15.75" customHeight="1">
      <c r="A278" s="175"/>
      <c r="B278" s="175"/>
    </row>
    <row r="279" ht="15.75" customHeight="1">
      <c r="A279" s="175"/>
      <c r="B279" s="175"/>
    </row>
    <row r="280" ht="15.75" customHeight="1">
      <c r="A280" s="175"/>
      <c r="B280" s="175"/>
    </row>
    <row r="281" ht="15.75" customHeight="1">
      <c r="A281" s="175"/>
      <c r="B281" s="175"/>
    </row>
    <row r="282" ht="15.75" customHeight="1">
      <c r="A282" s="175"/>
      <c r="B282" s="175"/>
    </row>
    <row r="283" ht="15.75" customHeight="1">
      <c r="A283" s="175"/>
      <c r="B283" s="175"/>
    </row>
    <row r="284" ht="15.75" customHeight="1">
      <c r="A284" s="175"/>
      <c r="B284" s="175"/>
    </row>
    <row r="285" ht="15.75" customHeight="1">
      <c r="A285" s="175"/>
      <c r="B285" s="175"/>
    </row>
    <row r="286" ht="15.75" customHeight="1">
      <c r="A286" s="175"/>
      <c r="B286" s="175"/>
    </row>
    <row r="287" ht="15.75" customHeight="1">
      <c r="A287" s="175"/>
      <c r="B287" s="175"/>
    </row>
    <row r="288" ht="15.75" customHeight="1">
      <c r="A288" s="175"/>
      <c r="B288" s="175"/>
    </row>
    <row r="289" ht="15.75" customHeight="1">
      <c r="A289" s="175"/>
      <c r="B289" s="175"/>
    </row>
    <row r="290" ht="15.75" customHeight="1">
      <c r="A290" s="175"/>
      <c r="B290" s="175"/>
    </row>
    <row r="291" ht="15.75" customHeight="1">
      <c r="A291" s="175"/>
      <c r="B291" s="175"/>
    </row>
    <row r="292" ht="15.75" customHeight="1">
      <c r="A292" s="175"/>
      <c r="B292" s="175"/>
    </row>
    <row r="293" ht="15.75" customHeight="1">
      <c r="A293" s="175"/>
      <c r="B293" s="175"/>
    </row>
    <row r="294" ht="15.75" customHeight="1">
      <c r="A294" s="175"/>
      <c r="B294" s="175"/>
    </row>
    <row r="295" ht="15.75" customHeight="1">
      <c r="A295" s="175"/>
      <c r="B295" s="175"/>
    </row>
    <row r="296" ht="15.75" customHeight="1">
      <c r="A296" s="175"/>
      <c r="B296" s="175"/>
    </row>
    <row r="297" ht="15.75" customHeight="1">
      <c r="A297" s="175"/>
      <c r="B297" s="175"/>
    </row>
    <row r="298" ht="15.75" customHeight="1">
      <c r="A298" s="175"/>
      <c r="B298" s="175"/>
    </row>
    <row r="299" ht="15.75" customHeight="1">
      <c r="A299" s="175"/>
      <c r="B299" s="175"/>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Implementation Checklist" location="'SEO Implementation Checklist'!A1" ref="A1"/>
    <hyperlink r:id="rId1" location="heading=h.npbn65nbqvcw" ref="B1"/>
    <hyperlink display="Priorities &amp; Status" location="'Priorities &amp; Status'!A1" ref="A2"/>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0"/>
    <col customWidth="1" min="2" max="2" width="69.75"/>
    <col customWidth="1" min="3" max="3" width="43.13"/>
    <col customWidth="1" min="4" max="6" width="12.63"/>
  </cols>
  <sheetData>
    <row r="1">
      <c r="A1" s="140" t="s">
        <v>370</v>
      </c>
      <c r="B1" s="167" t="s">
        <v>371</v>
      </c>
      <c r="C1" s="177" t="s">
        <v>407</v>
      </c>
    </row>
    <row r="2">
      <c r="A2" s="140" t="s">
        <v>372</v>
      </c>
    </row>
    <row r="3">
      <c r="A3" s="143" t="s">
        <v>382</v>
      </c>
      <c r="B3" s="143" t="s">
        <v>383</v>
      </c>
      <c r="C3" s="143" t="s">
        <v>408</v>
      </c>
    </row>
    <row r="4">
      <c r="A4" s="175"/>
      <c r="B4" s="175"/>
      <c r="C4" s="178"/>
    </row>
    <row r="5">
      <c r="A5" s="175"/>
      <c r="B5" s="175"/>
      <c r="C5" s="178"/>
    </row>
    <row r="6">
      <c r="A6" s="175"/>
      <c r="B6" s="175"/>
      <c r="C6" s="178"/>
    </row>
    <row r="7">
      <c r="A7" s="175"/>
      <c r="B7" s="175"/>
      <c r="C7" s="178"/>
    </row>
    <row r="8">
      <c r="A8" s="175"/>
      <c r="B8" s="175"/>
      <c r="C8" s="178"/>
    </row>
    <row r="9">
      <c r="A9" s="175"/>
      <c r="B9" s="175"/>
      <c r="C9" s="178"/>
    </row>
    <row r="10">
      <c r="A10" s="175"/>
      <c r="B10" s="175"/>
      <c r="C10" s="178"/>
    </row>
    <row r="11">
      <c r="A11" s="175"/>
      <c r="B11" s="175"/>
      <c r="C11" s="178"/>
    </row>
    <row r="12">
      <c r="A12" s="175"/>
      <c r="B12" s="175"/>
      <c r="C12" s="178"/>
    </row>
    <row r="13">
      <c r="A13" s="175"/>
      <c r="B13" s="175"/>
      <c r="C13" s="178"/>
    </row>
    <row r="14">
      <c r="A14" s="175"/>
      <c r="B14" s="175"/>
      <c r="C14" s="178"/>
    </row>
    <row r="15">
      <c r="A15" s="175"/>
      <c r="B15" s="175"/>
      <c r="C15" s="178"/>
    </row>
    <row r="16">
      <c r="A16" s="175"/>
      <c r="B16" s="175"/>
      <c r="C16" s="178"/>
    </row>
    <row r="17">
      <c r="A17" s="175"/>
      <c r="B17" s="175"/>
      <c r="C17" s="178"/>
    </row>
    <row r="18">
      <c r="A18" s="175"/>
      <c r="B18" s="175"/>
      <c r="C18" s="178"/>
    </row>
    <row r="19">
      <c r="A19" s="175"/>
      <c r="B19" s="175"/>
      <c r="C19" s="178"/>
    </row>
    <row r="20">
      <c r="A20" s="175"/>
      <c r="B20" s="175"/>
      <c r="C20" s="178"/>
    </row>
    <row r="21" ht="15.75" customHeight="1">
      <c r="A21" s="175"/>
      <c r="B21" s="175"/>
      <c r="C21" s="178"/>
    </row>
    <row r="22" ht="15.75" customHeight="1">
      <c r="A22" s="175"/>
      <c r="B22" s="175"/>
      <c r="C22" s="178"/>
    </row>
    <row r="23" ht="15.75" customHeight="1">
      <c r="A23" s="175"/>
      <c r="B23" s="175"/>
      <c r="C23" s="178"/>
    </row>
    <row r="24" ht="15.75" customHeight="1">
      <c r="A24" s="175"/>
      <c r="B24" s="175"/>
      <c r="C24" s="178"/>
    </row>
    <row r="25" ht="15.75" customHeight="1">
      <c r="A25" s="175"/>
      <c r="B25" s="175"/>
      <c r="C25" s="178"/>
    </row>
    <row r="26" ht="15.75" customHeight="1">
      <c r="A26" s="175"/>
      <c r="B26" s="175"/>
      <c r="C26" s="178"/>
    </row>
    <row r="27" ht="15.75" customHeight="1">
      <c r="A27" s="175"/>
      <c r="B27" s="175"/>
      <c r="C27" s="178"/>
    </row>
    <row r="28" ht="15.75" customHeight="1">
      <c r="A28" s="175"/>
      <c r="B28" s="175"/>
      <c r="C28" s="178"/>
    </row>
    <row r="29" ht="15.75" customHeight="1">
      <c r="A29" s="175"/>
      <c r="B29" s="176"/>
      <c r="C29" s="178"/>
    </row>
    <row r="30" ht="15.75" customHeight="1">
      <c r="A30" s="176"/>
      <c r="B30" s="176"/>
      <c r="C30" s="178"/>
    </row>
    <row r="31" ht="15.75" customHeight="1">
      <c r="A31" s="175"/>
      <c r="B31" s="175"/>
      <c r="C31" s="178"/>
    </row>
    <row r="32" ht="15.75" customHeight="1">
      <c r="A32" s="175"/>
      <c r="B32" s="175"/>
      <c r="C32" s="178"/>
    </row>
    <row r="33" ht="15.75" customHeight="1">
      <c r="A33" s="175"/>
      <c r="B33" s="175"/>
      <c r="C33" s="178"/>
    </row>
    <row r="34" ht="15.75" customHeight="1">
      <c r="A34" s="175"/>
      <c r="B34" s="175"/>
      <c r="C34" s="178"/>
    </row>
    <row r="35" ht="15.75" customHeight="1">
      <c r="A35" s="175"/>
      <c r="B35" s="175"/>
      <c r="C35" s="178"/>
    </row>
    <row r="36" ht="15.75" customHeight="1">
      <c r="A36" s="175"/>
      <c r="B36" s="175"/>
      <c r="C36" s="178"/>
    </row>
    <row r="37" ht="15.75" customHeight="1">
      <c r="A37" s="175"/>
      <c r="B37" s="175"/>
      <c r="C37" s="178"/>
    </row>
    <row r="38" ht="15.75" customHeight="1">
      <c r="A38" s="175"/>
      <c r="B38" s="175"/>
      <c r="C38" s="178"/>
    </row>
    <row r="39" ht="15.75" customHeight="1">
      <c r="A39" s="175"/>
      <c r="B39" s="175"/>
      <c r="C39" s="178"/>
    </row>
    <row r="40" ht="15.75" customHeight="1">
      <c r="A40" s="175"/>
      <c r="B40" s="175"/>
      <c r="C40" s="178"/>
    </row>
    <row r="41" ht="15.75" customHeight="1">
      <c r="A41" s="175"/>
      <c r="B41" s="175"/>
      <c r="C41" s="178"/>
    </row>
    <row r="42" ht="15.75" customHeight="1">
      <c r="A42" s="175"/>
      <c r="B42" s="175"/>
      <c r="C42" s="178"/>
    </row>
    <row r="43" ht="15.75" customHeight="1">
      <c r="A43" s="175"/>
      <c r="B43" s="175"/>
      <c r="C43" s="178"/>
    </row>
    <row r="44" ht="15.75" customHeight="1">
      <c r="A44" s="175"/>
      <c r="B44" s="175"/>
      <c r="C44" s="178"/>
    </row>
    <row r="45" ht="15.75" customHeight="1">
      <c r="A45" s="175"/>
      <c r="B45" s="175"/>
      <c r="C45" s="178"/>
    </row>
    <row r="46" ht="15.75" customHeight="1">
      <c r="A46" s="175"/>
      <c r="B46" s="175"/>
      <c r="C46" s="178"/>
    </row>
    <row r="47" ht="15.75" customHeight="1">
      <c r="A47" s="175"/>
      <c r="B47" s="175"/>
      <c r="C47" s="178"/>
    </row>
    <row r="48" ht="15.75" customHeight="1">
      <c r="A48" s="175"/>
      <c r="B48" s="175"/>
      <c r="C48" s="178"/>
    </row>
    <row r="49" ht="15.75" customHeight="1">
      <c r="A49" s="175"/>
      <c r="B49" s="175"/>
      <c r="C49" s="178"/>
    </row>
    <row r="50" ht="15.75" customHeight="1">
      <c r="A50" s="175"/>
      <c r="B50" s="175"/>
      <c r="C50" s="178"/>
    </row>
    <row r="51" ht="15.75" customHeight="1">
      <c r="A51" s="175"/>
      <c r="B51" s="175"/>
      <c r="C51" s="178"/>
    </row>
    <row r="52" ht="15.75" customHeight="1">
      <c r="A52" s="175"/>
      <c r="B52" s="175"/>
      <c r="C52" s="178"/>
    </row>
    <row r="53" ht="15.75" customHeight="1">
      <c r="A53" s="175"/>
      <c r="B53" s="175"/>
      <c r="C53" s="178"/>
    </row>
    <row r="54" ht="15.75" customHeight="1">
      <c r="A54" s="175"/>
      <c r="B54" s="175"/>
      <c r="C54" s="178"/>
    </row>
    <row r="55" ht="15.75" customHeight="1">
      <c r="A55" s="175"/>
      <c r="B55" s="175"/>
      <c r="C55" s="178"/>
    </row>
    <row r="56" ht="15.75" customHeight="1">
      <c r="A56" s="175"/>
      <c r="B56" s="175"/>
      <c r="C56" s="178"/>
    </row>
    <row r="57" ht="15.75" customHeight="1">
      <c r="A57" s="175"/>
      <c r="B57" s="175"/>
      <c r="C57" s="178"/>
    </row>
    <row r="58" ht="15.75" customHeight="1">
      <c r="A58" s="175"/>
      <c r="B58" s="175"/>
      <c r="C58" s="178"/>
    </row>
    <row r="59" ht="15.75" customHeight="1">
      <c r="A59" s="175"/>
      <c r="B59" s="175"/>
      <c r="C59" s="178"/>
    </row>
    <row r="60" ht="15.75" customHeight="1">
      <c r="A60" s="175"/>
      <c r="B60" s="175"/>
      <c r="C60" s="178"/>
    </row>
    <row r="61" ht="15.75" customHeight="1">
      <c r="A61" s="175"/>
      <c r="B61" s="175"/>
      <c r="C61" s="178"/>
    </row>
    <row r="62" ht="15.75" customHeight="1">
      <c r="A62" s="175"/>
      <c r="B62" s="175"/>
      <c r="C62" s="178"/>
    </row>
    <row r="63" ht="15.75" customHeight="1">
      <c r="A63" s="175"/>
      <c r="B63" s="175"/>
      <c r="C63" s="178"/>
    </row>
    <row r="64" ht="15.75" customHeight="1">
      <c r="A64" s="175"/>
      <c r="B64" s="175"/>
      <c r="C64" s="178"/>
    </row>
    <row r="65" ht="15.75" customHeight="1">
      <c r="A65" s="175"/>
      <c r="B65" s="175"/>
      <c r="C65" s="178"/>
    </row>
    <row r="66" ht="15.75" customHeight="1">
      <c r="A66" s="175"/>
      <c r="B66" s="175"/>
      <c r="C66" s="178"/>
    </row>
    <row r="67" ht="15.75" customHeight="1">
      <c r="A67" s="175"/>
      <c r="B67" s="175"/>
      <c r="C67" s="178"/>
    </row>
    <row r="68" ht="15.75" customHeight="1">
      <c r="A68" s="175"/>
      <c r="B68" s="175"/>
      <c r="C68" s="178"/>
    </row>
    <row r="69" ht="15.75" customHeight="1">
      <c r="A69" s="175"/>
      <c r="B69" s="175"/>
      <c r="C69" s="178"/>
    </row>
    <row r="70" ht="15.75" customHeight="1">
      <c r="A70" s="175"/>
      <c r="B70" s="175"/>
      <c r="C70" s="178"/>
    </row>
    <row r="71" ht="15.75" customHeight="1">
      <c r="A71" s="175"/>
      <c r="B71" s="175"/>
      <c r="C71" s="178"/>
    </row>
    <row r="72" ht="15.75" customHeight="1">
      <c r="A72" s="175"/>
      <c r="B72" s="175"/>
      <c r="C72" s="178"/>
    </row>
    <row r="73" ht="15.75" customHeight="1">
      <c r="A73" s="175"/>
      <c r="B73" s="175"/>
      <c r="C73" s="178"/>
    </row>
    <row r="74" ht="15.75" customHeight="1">
      <c r="A74" s="175"/>
      <c r="B74" s="175"/>
      <c r="C74" s="178"/>
    </row>
    <row r="75" ht="15.75" customHeight="1">
      <c r="A75" s="175"/>
      <c r="B75" s="175"/>
      <c r="C75" s="178"/>
    </row>
    <row r="76" ht="15.75" customHeight="1">
      <c r="A76" s="175"/>
      <c r="B76" s="175"/>
      <c r="C76" s="178"/>
    </row>
    <row r="77" ht="15.75" customHeight="1">
      <c r="A77" s="175"/>
      <c r="B77" s="175"/>
      <c r="C77" s="178"/>
    </row>
    <row r="78" ht="15.75" customHeight="1">
      <c r="A78" s="175"/>
      <c r="B78" s="175"/>
      <c r="C78" s="178"/>
    </row>
    <row r="79" ht="15.75" customHeight="1">
      <c r="A79" s="175"/>
      <c r="B79" s="175"/>
      <c r="C79" s="178"/>
    </row>
    <row r="80" ht="15.75" customHeight="1">
      <c r="A80" s="175"/>
      <c r="B80" s="175"/>
      <c r="C80" s="178"/>
    </row>
    <row r="81" ht="15.75" customHeight="1">
      <c r="A81" s="175"/>
      <c r="B81" s="175"/>
      <c r="C81" s="178"/>
    </row>
    <row r="82" ht="15.75" customHeight="1">
      <c r="A82" s="175"/>
      <c r="B82" s="175"/>
      <c r="C82" s="178"/>
    </row>
    <row r="83" ht="15.75" customHeight="1">
      <c r="A83" s="175"/>
      <c r="B83" s="175"/>
      <c r="C83" s="178"/>
    </row>
    <row r="84" ht="15.75" customHeight="1">
      <c r="A84" s="175"/>
      <c r="B84" s="175"/>
      <c r="C84" s="178"/>
    </row>
    <row r="85" ht="15.75" customHeight="1">
      <c r="A85" s="175"/>
      <c r="B85" s="175"/>
      <c r="C85" s="178"/>
    </row>
    <row r="86" ht="15.75" customHeight="1">
      <c r="A86" s="175"/>
      <c r="B86" s="175"/>
      <c r="C86" s="178"/>
    </row>
    <row r="87" ht="15.75" customHeight="1">
      <c r="A87" s="175"/>
      <c r="B87" s="175"/>
      <c r="C87" s="178"/>
    </row>
    <row r="88" ht="15.75" customHeight="1">
      <c r="A88" s="175"/>
      <c r="B88" s="175"/>
      <c r="C88" s="178"/>
    </row>
    <row r="89" ht="15.75" customHeight="1">
      <c r="A89" s="175"/>
      <c r="B89" s="175"/>
      <c r="C89" s="178"/>
    </row>
    <row r="90" ht="15.75" customHeight="1">
      <c r="A90" s="175"/>
      <c r="B90" s="175"/>
      <c r="C90" s="178"/>
    </row>
    <row r="91" ht="15.75" customHeight="1">
      <c r="A91" s="175"/>
      <c r="B91" s="175"/>
      <c r="C91" s="178"/>
    </row>
    <row r="92" ht="15.75" customHeight="1">
      <c r="A92" s="175"/>
      <c r="B92" s="175"/>
      <c r="C92" s="178"/>
    </row>
    <row r="93" ht="15.75" customHeight="1">
      <c r="A93" s="175"/>
      <c r="B93" s="175"/>
      <c r="C93" s="178"/>
    </row>
    <row r="94" ht="15.75" customHeight="1">
      <c r="A94" s="175"/>
      <c r="B94" s="175"/>
      <c r="C94" s="178"/>
    </row>
    <row r="95" ht="15.75" customHeight="1">
      <c r="A95" s="175"/>
      <c r="B95" s="175"/>
      <c r="C95" s="178"/>
    </row>
    <row r="96" ht="15.75" customHeight="1">
      <c r="A96" s="175"/>
      <c r="B96" s="175"/>
      <c r="C96" s="178"/>
    </row>
    <row r="97" ht="15.75" customHeight="1">
      <c r="A97" s="175"/>
      <c r="B97" s="175"/>
      <c r="C97" s="178"/>
    </row>
    <row r="98" ht="15.75" customHeight="1">
      <c r="A98" s="175"/>
      <c r="B98" s="175"/>
      <c r="C98" s="178"/>
    </row>
    <row r="99" ht="15.75" customHeight="1">
      <c r="A99" s="175"/>
      <c r="B99" s="175"/>
      <c r="C99" s="178"/>
    </row>
    <row r="100" ht="15.75" customHeight="1">
      <c r="A100" s="175"/>
      <c r="B100" s="175"/>
      <c r="C100" s="178"/>
    </row>
    <row r="101" ht="15.75" customHeight="1">
      <c r="A101" s="175"/>
      <c r="B101" s="175"/>
      <c r="C101" s="178"/>
    </row>
    <row r="102" ht="15.75" customHeight="1">
      <c r="A102" s="175"/>
      <c r="B102" s="175"/>
      <c r="C102" s="178"/>
    </row>
    <row r="103" ht="15.75" customHeight="1">
      <c r="A103" s="175"/>
      <c r="B103" s="175"/>
      <c r="C103" s="178"/>
    </row>
    <row r="104" ht="15.75" customHeight="1">
      <c r="A104" s="175"/>
      <c r="B104" s="175"/>
      <c r="C104" s="178"/>
    </row>
    <row r="105" ht="15.75" customHeight="1">
      <c r="A105" s="175"/>
      <c r="B105" s="175"/>
      <c r="C105" s="178"/>
    </row>
    <row r="106" ht="15.75" customHeight="1">
      <c r="A106" s="175"/>
      <c r="B106" s="175"/>
      <c r="C106" s="178"/>
    </row>
    <row r="107" ht="15.75" customHeight="1">
      <c r="A107" s="175"/>
      <c r="B107" s="175"/>
      <c r="C107" s="178"/>
    </row>
    <row r="108" ht="15.75" customHeight="1">
      <c r="A108" s="175"/>
      <c r="B108" s="175"/>
      <c r="C108" s="178"/>
    </row>
    <row r="109" ht="15.75" customHeight="1">
      <c r="A109" s="175"/>
      <c r="B109" s="175"/>
      <c r="C109" s="178"/>
    </row>
    <row r="110" ht="15.75" customHeight="1">
      <c r="A110" s="175"/>
      <c r="B110" s="175"/>
      <c r="C110" s="178"/>
    </row>
    <row r="111" ht="15.75" customHeight="1">
      <c r="A111" s="175"/>
      <c r="B111" s="175"/>
      <c r="C111" s="178"/>
    </row>
    <row r="112" ht="15.75" customHeight="1">
      <c r="A112" s="175"/>
      <c r="B112" s="175"/>
      <c r="C112" s="178"/>
    </row>
    <row r="113" ht="15.75" customHeight="1">
      <c r="A113" s="175"/>
      <c r="B113" s="175"/>
      <c r="C113" s="178"/>
    </row>
    <row r="114" ht="15.75" customHeight="1">
      <c r="A114" s="175"/>
      <c r="B114" s="175"/>
      <c r="C114" s="178"/>
    </row>
    <row r="115" ht="15.75" customHeight="1">
      <c r="A115" s="175"/>
      <c r="B115" s="175"/>
      <c r="C115" s="178"/>
    </row>
    <row r="116" ht="15.75" customHeight="1">
      <c r="A116" s="175"/>
      <c r="B116" s="175"/>
      <c r="C116" s="178"/>
    </row>
    <row r="117" ht="15.75" customHeight="1">
      <c r="A117" s="175"/>
      <c r="B117" s="175"/>
      <c r="C117" s="178"/>
    </row>
    <row r="118" ht="15.75" customHeight="1">
      <c r="A118" s="175"/>
      <c r="B118" s="175"/>
      <c r="C118" s="178"/>
    </row>
    <row r="119" ht="15.75" customHeight="1">
      <c r="A119" s="175"/>
      <c r="B119" s="175"/>
      <c r="C119" s="178"/>
    </row>
    <row r="120" ht="15.75" customHeight="1">
      <c r="A120" s="175"/>
      <c r="B120" s="175"/>
      <c r="C120" s="178"/>
    </row>
    <row r="121" ht="15.75" customHeight="1">
      <c r="A121" s="175"/>
      <c r="B121" s="175"/>
      <c r="C121" s="178"/>
    </row>
    <row r="122" ht="15.75" customHeight="1">
      <c r="A122" s="175"/>
      <c r="B122" s="175"/>
      <c r="C122" s="178"/>
    </row>
    <row r="123" ht="15.75" customHeight="1">
      <c r="A123" s="175"/>
      <c r="B123" s="175"/>
      <c r="C123" s="178"/>
    </row>
    <row r="124" ht="15.75" customHeight="1">
      <c r="A124" s="175"/>
      <c r="B124" s="175"/>
      <c r="C124" s="178"/>
    </row>
    <row r="125" ht="15.75" customHeight="1">
      <c r="A125" s="175"/>
      <c r="B125" s="175"/>
      <c r="C125" s="178"/>
    </row>
    <row r="126" ht="15.75" customHeight="1">
      <c r="A126" s="175"/>
      <c r="B126" s="175"/>
      <c r="C126" s="178"/>
    </row>
    <row r="127" ht="15.75" customHeight="1">
      <c r="A127" s="175"/>
      <c r="B127" s="175"/>
      <c r="C127" s="178"/>
    </row>
    <row r="128" ht="15.75" customHeight="1">
      <c r="A128" s="175"/>
      <c r="B128" s="175"/>
      <c r="C128" s="178"/>
    </row>
    <row r="129" ht="15.75" customHeight="1">
      <c r="A129" s="175"/>
      <c r="B129" s="175"/>
      <c r="C129" s="178"/>
    </row>
    <row r="130" ht="15.75" customHeight="1">
      <c r="A130" s="175"/>
      <c r="B130" s="175"/>
      <c r="C130" s="178"/>
    </row>
    <row r="131" ht="15.75" customHeight="1">
      <c r="A131" s="175"/>
      <c r="B131" s="175"/>
      <c r="C131" s="178"/>
    </row>
    <row r="132" ht="15.75" customHeight="1">
      <c r="A132" s="175"/>
      <c r="B132" s="175"/>
      <c r="C132" s="178"/>
    </row>
    <row r="133" ht="15.75" customHeight="1">
      <c r="A133" s="175"/>
      <c r="B133" s="175"/>
      <c r="C133" s="178"/>
    </row>
    <row r="134" ht="15.75" customHeight="1">
      <c r="A134" s="175"/>
      <c r="B134" s="175"/>
      <c r="C134" s="178"/>
    </row>
    <row r="135" ht="15.75" customHeight="1">
      <c r="A135" s="175"/>
      <c r="B135" s="175"/>
      <c r="C135" s="178"/>
    </row>
    <row r="136" ht="15.75" customHeight="1">
      <c r="A136" s="175"/>
      <c r="B136" s="175"/>
      <c r="C136" s="178"/>
    </row>
    <row r="137" ht="15.75" customHeight="1">
      <c r="A137" s="175"/>
      <c r="B137" s="175"/>
      <c r="C137" s="178"/>
    </row>
    <row r="138" ht="15.75" customHeight="1">
      <c r="A138" s="175"/>
      <c r="B138" s="175"/>
      <c r="C138" s="178"/>
    </row>
    <row r="139" ht="15.75" customHeight="1">
      <c r="A139" s="175"/>
      <c r="B139" s="175"/>
      <c r="C139" s="178"/>
    </row>
    <row r="140" ht="15.75" customHeight="1">
      <c r="A140" s="175"/>
      <c r="B140" s="175"/>
      <c r="C140" s="178"/>
    </row>
    <row r="141" ht="15.75" customHeight="1">
      <c r="A141" s="175"/>
      <c r="B141" s="175"/>
      <c r="C141" s="178"/>
    </row>
    <row r="142" ht="15.75" customHeight="1">
      <c r="A142" s="175"/>
      <c r="B142" s="175"/>
      <c r="C142" s="178"/>
    </row>
    <row r="143" ht="15.75" customHeight="1">
      <c r="A143" s="175"/>
      <c r="B143" s="175"/>
      <c r="C143" s="178"/>
    </row>
    <row r="144" ht="15.75" customHeight="1">
      <c r="A144" s="175"/>
      <c r="B144" s="175"/>
      <c r="C144" s="178"/>
    </row>
    <row r="145" ht="15.75" customHeight="1">
      <c r="A145" s="175"/>
      <c r="B145" s="175"/>
      <c r="C145" s="178"/>
    </row>
    <row r="146" ht="15.75" customHeight="1">
      <c r="A146" s="175"/>
      <c r="B146" s="175"/>
      <c r="C146" s="178"/>
    </row>
    <row r="147" ht="15.75" customHeight="1">
      <c r="A147" s="175"/>
      <c r="B147" s="175"/>
      <c r="C147" s="178"/>
    </row>
    <row r="148" ht="15.75" customHeight="1">
      <c r="A148" s="175"/>
      <c r="B148" s="175"/>
      <c r="C148" s="178"/>
    </row>
    <row r="149" ht="15.75" customHeight="1">
      <c r="A149" s="175"/>
      <c r="B149" s="175"/>
      <c r="C149" s="178"/>
    </row>
    <row r="150" ht="15.75" customHeight="1">
      <c r="A150" s="175"/>
      <c r="B150" s="175"/>
      <c r="C150" s="178"/>
    </row>
    <row r="151" ht="15.75" customHeight="1">
      <c r="A151" s="175"/>
      <c r="B151" s="175"/>
      <c r="C151" s="178"/>
    </row>
    <row r="152" ht="15.75" customHeight="1">
      <c r="A152" s="175"/>
      <c r="B152" s="175"/>
      <c r="C152" s="178"/>
    </row>
    <row r="153" ht="15.75" customHeight="1">
      <c r="A153" s="175"/>
      <c r="B153" s="175"/>
      <c r="C153" s="178"/>
    </row>
    <row r="154" ht="15.75" customHeight="1">
      <c r="A154" s="175"/>
      <c r="B154" s="175"/>
      <c r="C154" s="178"/>
    </row>
    <row r="155" ht="15.75" customHeight="1">
      <c r="A155" s="175"/>
      <c r="B155" s="175"/>
      <c r="C155" s="178"/>
    </row>
    <row r="156" ht="15.75" customHeight="1">
      <c r="A156" s="175"/>
      <c r="B156" s="175"/>
      <c r="C156" s="178"/>
    </row>
    <row r="157" ht="15.75" customHeight="1">
      <c r="A157" s="175"/>
      <c r="B157" s="175"/>
      <c r="C157" s="178"/>
    </row>
    <row r="158" ht="15.75" customHeight="1">
      <c r="A158" s="175"/>
      <c r="B158" s="175"/>
      <c r="C158" s="178"/>
    </row>
    <row r="159" ht="15.75" customHeight="1">
      <c r="A159" s="175"/>
      <c r="B159" s="175"/>
      <c r="C159" s="178"/>
    </row>
    <row r="160" ht="15.75" customHeight="1">
      <c r="A160" s="175"/>
      <c r="B160" s="175"/>
      <c r="C160" s="178"/>
    </row>
    <row r="161" ht="15.75" customHeight="1">
      <c r="A161" s="175"/>
      <c r="B161" s="175"/>
      <c r="C161" s="178"/>
    </row>
    <row r="162" ht="15.75" customHeight="1">
      <c r="A162" s="175"/>
      <c r="B162" s="175"/>
      <c r="C162" s="178"/>
    </row>
    <row r="163" ht="15.75" customHeight="1">
      <c r="A163" s="175"/>
      <c r="B163" s="175"/>
      <c r="C163" s="178"/>
    </row>
    <row r="164" ht="15.75" customHeight="1">
      <c r="A164" s="175"/>
      <c r="B164" s="175"/>
      <c r="C164" s="178"/>
    </row>
    <row r="165" ht="15.75" customHeight="1">
      <c r="A165" s="175"/>
      <c r="B165" s="175"/>
      <c r="C165" s="178"/>
    </row>
    <row r="166" ht="15.75" customHeight="1">
      <c r="A166" s="175"/>
      <c r="B166" s="175"/>
      <c r="C166" s="178"/>
    </row>
    <row r="167" ht="15.75" customHeight="1">
      <c r="A167" s="175"/>
      <c r="B167" s="175"/>
      <c r="C167" s="178"/>
    </row>
    <row r="168" ht="15.75" customHeight="1">
      <c r="A168" s="175"/>
      <c r="B168" s="175"/>
      <c r="C168" s="178"/>
    </row>
    <row r="169" ht="15.75" customHeight="1">
      <c r="A169" s="175"/>
      <c r="B169" s="175"/>
      <c r="C169" s="178"/>
    </row>
    <row r="170" ht="15.75" customHeight="1">
      <c r="A170" s="175"/>
      <c r="B170" s="175"/>
      <c r="C170" s="178"/>
    </row>
    <row r="171" ht="15.75" customHeight="1">
      <c r="A171" s="175"/>
      <c r="B171" s="175"/>
      <c r="C171" s="178"/>
    </row>
    <row r="172" ht="15.75" customHeight="1">
      <c r="A172" s="175"/>
      <c r="B172" s="175"/>
      <c r="C172" s="178"/>
    </row>
    <row r="173" ht="15.75" customHeight="1">
      <c r="A173" s="175"/>
      <c r="B173" s="175"/>
      <c r="C173" s="178"/>
    </row>
    <row r="174" ht="15.75" customHeight="1">
      <c r="A174" s="175"/>
      <c r="B174" s="175"/>
      <c r="C174" s="178"/>
    </row>
    <row r="175" ht="15.75" customHeight="1">
      <c r="A175" s="175"/>
      <c r="B175" s="175"/>
      <c r="C175" s="178"/>
    </row>
    <row r="176" ht="15.75" customHeight="1">
      <c r="A176" s="175"/>
      <c r="B176" s="175"/>
      <c r="C176" s="178"/>
    </row>
    <row r="177" ht="15.75" customHeight="1">
      <c r="A177" s="175"/>
      <c r="B177" s="175"/>
      <c r="C177" s="178"/>
    </row>
    <row r="178" ht="15.75" customHeight="1">
      <c r="A178" s="175"/>
      <c r="B178" s="175"/>
      <c r="C178" s="178"/>
    </row>
    <row r="179" ht="15.75" customHeight="1">
      <c r="A179" s="175"/>
      <c r="B179" s="175"/>
      <c r="C179" s="178"/>
    </row>
    <row r="180" ht="15.75" customHeight="1">
      <c r="A180" s="175"/>
      <c r="B180" s="175"/>
      <c r="C180" s="178"/>
    </row>
    <row r="181" ht="15.75" customHeight="1">
      <c r="A181" s="175"/>
      <c r="B181" s="175"/>
      <c r="C181" s="178"/>
    </row>
    <row r="182" ht="15.75" customHeight="1">
      <c r="A182" s="175"/>
      <c r="B182" s="175"/>
      <c r="C182" s="178"/>
    </row>
    <row r="183" ht="15.75" customHeight="1">
      <c r="A183" s="175"/>
      <c r="B183" s="175"/>
      <c r="C183" s="178"/>
    </row>
    <row r="184" ht="15.75" customHeight="1">
      <c r="A184" s="175"/>
      <c r="B184" s="175"/>
      <c r="C184" s="178"/>
    </row>
    <row r="185" ht="15.75" customHeight="1">
      <c r="A185" s="175"/>
      <c r="B185" s="175"/>
      <c r="C185" s="178"/>
    </row>
    <row r="186" ht="15.75" customHeight="1">
      <c r="A186" s="175"/>
      <c r="B186" s="175"/>
      <c r="C186" s="178"/>
    </row>
    <row r="187" ht="15.75" customHeight="1">
      <c r="A187" s="175"/>
      <c r="B187" s="175"/>
      <c r="C187" s="178"/>
    </row>
    <row r="188" ht="15.75" customHeight="1">
      <c r="A188" s="175"/>
      <c r="B188" s="175"/>
      <c r="C188" s="178"/>
    </row>
    <row r="189" ht="15.75" customHeight="1">
      <c r="A189" s="175"/>
      <c r="B189" s="175"/>
      <c r="C189" s="178"/>
    </row>
    <row r="190" ht="15.75" customHeight="1">
      <c r="A190" s="175"/>
      <c r="B190" s="175"/>
      <c r="C190" s="178"/>
    </row>
    <row r="191" ht="15.75" customHeight="1">
      <c r="A191" s="175"/>
      <c r="B191" s="175"/>
      <c r="C191" s="178"/>
    </row>
    <row r="192" ht="15.75" customHeight="1">
      <c r="A192" s="175"/>
      <c r="B192" s="175"/>
      <c r="C192" s="178"/>
    </row>
    <row r="193" ht="15.75" customHeight="1">
      <c r="A193" s="175"/>
      <c r="B193" s="175"/>
      <c r="C193" s="178"/>
    </row>
    <row r="194" ht="15.75" customHeight="1">
      <c r="A194" s="175"/>
      <c r="B194" s="175"/>
      <c r="C194" s="178"/>
    </row>
    <row r="195" ht="15.75" customHeight="1">
      <c r="A195" s="175"/>
      <c r="B195" s="175"/>
      <c r="C195" s="178"/>
    </row>
    <row r="196" ht="15.75" customHeight="1">
      <c r="A196" s="175"/>
      <c r="B196" s="175"/>
      <c r="C196" s="178"/>
    </row>
    <row r="197" ht="15.75" customHeight="1">
      <c r="A197" s="175"/>
      <c r="B197" s="175"/>
      <c r="C197" s="178"/>
    </row>
    <row r="198" ht="15.75" customHeight="1">
      <c r="A198" s="175"/>
      <c r="B198" s="175"/>
      <c r="C198" s="178"/>
    </row>
    <row r="199" ht="15.75" customHeight="1">
      <c r="A199" s="175"/>
      <c r="B199" s="175"/>
      <c r="C199" s="178"/>
    </row>
    <row r="200" ht="15.75" customHeight="1">
      <c r="A200" s="175"/>
      <c r="B200" s="175"/>
      <c r="C200" s="178"/>
    </row>
    <row r="201" ht="15.75" customHeight="1">
      <c r="A201" s="175"/>
      <c r="B201" s="175"/>
      <c r="C201" s="178"/>
    </row>
    <row r="202" ht="15.75" customHeight="1">
      <c r="A202" s="175"/>
      <c r="B202" s="175"/>
      <c r="C202" s="178"/>
    </row>
    <row r="203" ht="15.75" customHeight="1">
      <c r="A203" s="175"/>
      <c r="B203" s="175"/>
      <c r="C203" s="178"/>
    </row>
    <row r="204" ht="15.75" customHeight="1">
      <c r="A204" s="175"/>
      <c r="B204" s="175"/>
      <c r="C204" s="178"/>
    </row>
    <row r="205" ht="15.75" customHeight="1">
      <c r="A205" s="175"/>
      <c r="B205" s="175"/>
      <c r="C205" s="178"/>
    </row>
    <row r="206" ht="15.75" customHeight="1">
      <c r="A206" s="175"/>
      <c r="B206" s="175"/>
      <c r="C206" s="178"/>
    </row>
    <row r="207" ht="15.75" customHeight="1">
      <c r="A207" s="175"/>
      <c r="B207" s="175"/>
      <c r="C207" s="178"/>
    </row>
    <row r="208" ht="15.75" customHeight="1">
      <c r="A208" s="175"/>
      <c r="B208" s="175"/>
      <c r="C208" s="178"/>
    </row>
    <row r="209" ht="15.75" customHeight="1">
      <c r="A209" s="175"/>
      <c r="B209" s="175"/>
      <c r="C209" s="178"/>
    </row>
    <row r="210" ht="15.75" customHeight="1">
      <c r="A210" s="175"/>
      <c r="B210" s="175"/>
      <c r="C210" s="178"/>
    </row>
    <row r="211" ht="15.75" customHeight="1">
      <c r="A211" s="175"/>
      <c r="B211" s="175"/>
      <c r="C211" s="178"/>
    </row>
    <row r="212" ht="15.75" customHeight="1">
      <c r="A212" s="175"/>
      <c r="B212" s="175"/>
      <c r="C212" s="178"/>
    </row>
    <row r="213" ht="15.75" customHeight="1">
      <c r="A213" s="175"/>
      <c r="B213" s="175"/>
      <c r="C213" s="178"/>
    </row>
    <row r="214" ht="15.75" customHeight="1">
      <c r="A214" s="175"/>
      <c r="B214" s="175"/>
      <c r="C214" s="178"/>
    </row>
    <row r="215" ht="15.75" customHeight="1">
      <c r="A215" s="175"/>
      <c r="B215" s="175"/>
      <c r="C215" s="178"/>
    </row>
    <row r="216" ht="15.75" customHeight="1">
      <c r="A216" s="175"/>
      <c r="B216" s="175"/>
      <c r="C216" s="178"/>
    </row>
    <row r="217" ht="15.75" customHeight="1">
      <c r="A217" s="175"/>
      <c r="B217" s="175"/>
      <c r="C217" s="178"/>
    </row>
    <row r="218" ht="15.75" customHeight="1">
      <c r="A218" s="175"/>
      <c r="B218" s="175"/>
      <c r="C218" s="178"/>
    </row>
    <row r="219" ht="15.75" customHeight="1">
      <c r="A219" s="175"/>
      <c r="B219" s="175"/>
      <c r="C219" s="178"/>
    </row>
    <row r="220" ht="15.75" customHeight="1">
      <c r="A220" s="175"/>
      <c r="B220" s="175"/>
      <c r="C220" s="178"/>
    </row>
    <row r="221" ht="15.75" customHeight="1">
      <c r="A221" s="175"/>
      <c r="B221" s="175"/>
      <c r="C221" s="179"/>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B2"/>
    <mergeCell ref="C1:C2"/>
  </mergeCells>
  <hyperlinks>
    <hyperlink display="Implementation Checklist" location="'SEO Implementation Checklist'!A1" ref="A1"/>
    <hyperlink r:id="rId1" location="heading=h.npbn65nbqvcw" ref="B1"/>
    <hyperlink display="Priorities &amp; Status" location="'Priorities &amp; Status'!A1" ref="A2"/>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3.0"/>
    <col customWidth="1" min="3" max="3" width="41.38"/>
    <col customWidth="1" min="4" max="4" width="64.38"/>
    <col customWidth="1" min="5" max="6" width="12.63"/>
  </cols>
  <sheetData>
    <row r="1">
      <c r="A1" s="140" t="s">
        <v>370</v>
      </c>
      <c r="B1" s="167" t="s">
        <v>371</v>
      </c>
      <c r="D1" s="150"/>
    </row>
    <row r="2">
      <c r="A2" s="140" t="s">
        <v>372</v>
      </c>
      <c r="D2" s="150"/>
    </row>
    <row r="3">
      <c r="A3" s="143" t="s">
        <v>378</v>
      </c>
      <c r="B3" s="143" t="s">
        <v>379</v>
      </c>
      <c r="C3" s="143" t="s">
        <v>388</v>
      </c>
      <c r="D3" s="143" t="s">
        <v>377</v>
      </c>
    </row>
    <row r="4">
      <c r="B4" s="180"/>
      <c r="C4" s="181" t="s">
        <v>409</v>
      </c>
      <c r="D4" s="18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84qhira7bcw1" ref="B1"/>
    <hyperlink display="Priorities &amp; Status" location="'Priorities &amp; Status'!A1" ref="A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25"/>
    <col customWidth="1" min="3" max="3" width="49.13"/>
    <col customWidth="1" min="4" max="4" width="44.13"/>
    <col customWidth="1" min="5" max="6" width="12.63"/>
  </cols>
  <sheetData>
    <row r="1">
      <c r="A1" s="140" t="s">
        <v>370</v>
      </c>
      <c r="B1" s="167" t="s">
        <v>371</v>
      </c>
      <c r="D1" s="150"/>
    </row>
    <row r="2">
      <c r="A2" s="140" t="s">
        <v>372</v>
      </c>
      <c r="D2" s="150"/>
    </row>
    <row r="3">
      <c r="A3" s="143" t="s">
        <v>378</v>
      </c>
      <c r="B3" s="143" t="s">
        <v>379</v>
      </c>
      <c r="C3" s="143" t="s">
        <v>388</v>
      </c>
      <c r="D3" s="143" t="s">
        <v>377</v>
      </c>
    </row>
    <row r="4">
      <c r="A4" s="157"/>
      <c r="B4" s="144"/>
      <c r="C4" s="1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C2"/>
    <mergeCell ref="B4:B5"/>
    <mergeCell ref="C4:C5"/>
  </mergeCells>
  <hyperlinks>
    <hyperlink display="Implementation Checklist" location="'SEO Implementation Checklist'!A1" ref="A1"/>
    <hyperlink r:id="rId1" location="heading=h.84qhira7bcw1" ref="B1"/>
    <hyperlink display="Priorities &amp; Status" location="'Priorities &amp; Status'!A1" ref="A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46.5"/>
    <col customWidth="1" min="4" max="4" width="71.0"/>
    <col customWidth="1" min="5" max="6" width="12.63"/>
  </cols>
  <sheetData>
    <row r="1">
      <c r="A1" s="140" t="s">
        <v>370</v>
      </c>
      <c r="B1" s="167" t="s">
        <v>371</v>
      </c>
      <c r="D1" s="160"/>
    </row>
    <row r="2">
      <c r="A2" s="140" t="s">
        <v>372</v>
      </c>
      <c r="D2" s="160"/>
    </row>
    <row r="3">
      <c r="A3" s="143" t="s">
        <v>378</v>
      </c>
      <c r="B3" s="143" t="s">
        <v>379</v>
      </c>
      <c r="C3" s="143" t="s">
        <v>388</v>
      </c>
      <c r="D3" s="143" t="s">
        <v>410</v>
      </c>
    </row>
    <row r="4" ht="347.25" customHeight="1">
      <c r="A4" s="156"/>
      <c r="B4" s="156"/>
      <c r="C4" s="1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kkaqhh7kuvt8" ref="B1"/>
    <hyperlink display="Priorities &amp; Status" location="'Priorities &amp; Status'!A1" ref="A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72.5"/>
    <col customWidth="1" min="4" max="4" width="50.5"/>
    <col customWidth="1" min="5" max="6" width="12.63"/>
  </cols>
  <sheetData>
    <row r="1">
      <c r="A1" s="140" t="s">
        <v>370</v>
      </c>
      <c r="B1" s="167" t="s">
        <v>371</v>
      </c>
      <c r="D1" s="160"/>
    </row>
    <row r="2">
      <c r="A2" s="140" t="s">
        <v>372</v>
      </c>
      <c r="D2" s="160"/>
    </row>
    <row r="3">
      <c r="A3" s="143" t="s">
        <v>378</v>
      </c>
      <c r="B3" s="143" t="s">
        <v>379</v>
      </c>
      <c r="C3" s="143" t="s">
        <v>388</v>
      </c>
      <c r="D3" s="143" t="s">
        <v>410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kkaqhh7kuvt8" ref="B1"/>
    <hyperlink display="Priorities &amp; Status" location="'Priorities &amp; Status'!A1" ref="A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88"/>
    <col customWidth="1" min="2" max="2" width="86.25"/>
    <col customWidth="1" min="3" max="3" width="59.5"/>
    <col customWidth="1" min="4" max="5" width="12.63"/>
  </cols>
  <sheetData>
    <row r="1">
      <c r="A1" s="140" t="s">
        <v>370</v>
      </c>
      <c r="B1" s="184" t="s">
        <v>371</v>
      </c>
    </row>
    <row r="2">
      <c r="A2" s="140" t="s">
        <v>372</v>
      </c>
    </row>
    <row r="3">
      <c r="A3" s="151" t="s">
        <v>411</v>
      </c>
      <c r="B3" s="151" t="s">
        <v>412</v>
      </c>
      <c r="C3" s="143" t="s">
        <v>388</v>
      </c>
    </row>
    <row r="4" ht="64.5" customHeight="1">
      <c r="A4" s="185"/>
      <c r="B4" s="186"/>
      <c r="C4" s="146"/>
    </row>
    <row r="5">
      <c r="A5" s="121"/>
      <c r="B5" s="121"/>
      <c r="C5" s="1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display="Priorities &amp; Status" location="'Priorities &amp; Status'!A1" ref="A2"/>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1.63"/>
    <col customWidth="1" min="4" max="4" width="44.63"/>
    <col customWidth="1" min="5" max="5" width="36.13"/>
    <col customWidth="1" min="6" max="6" width="34.88"/>
  </cols>
  <sheetData>
    <row r="1">
      <c r="A1" s="140" t="s">
        <v>370</v>
      </c>
      <c r="B1" s="167" t="s">
        <v>371</v>
      </c>
    </row>
    <row r="2">
      <c r="A2" s="140" t="s">
        <v>372</v>
      </c>
    </row>
    <row r="3">
      <c r="A3" s="143" t="s">
        <v>378</v>
      </c>
      <c r="B3" s="143" t="s">
        <v>388</v>
      </c>
      <c r="C3" s="143" t="s">
        <v>410</v>
      </c>
    </row>
    <row r="4" ht="310.5" customHeight="1">
      <c r="A4" s="157" t="s">
        <v>413</v>
      </c>
      <c r="B4" s="156" t="s">
        <v>414</v>
      </c>
      <c r="C4" s="187" t="s">
        <v>415</v>
      </c>
    </row>
    <row r="5" ht="171.75" customHeight="1">
      <c r="A5" s="157" t="s">
        <v>413</v>
      </c>
      <c r="B5" s="156" t="s">
        <v>416</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
    <mergeCell ref="B1:C2"/>
  </mergeCells>
  <hyperlinks>
    <hyperlink display="Implementation Checklist" location="'SEO Implementation Checklist'!A1" ref="A1"/>
    <hyperlink r:id="rId1" location="heading=h.kkaqhh7kuvt8" ref="B1"/>
    <hyperlink display="Priorities &amp; Status" location="'Priorities &amp; Status'!A1" ref="A2"/>
    <hyperlink r:id="rId2" ref="C4"/>
  </hyperlinks>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9.0"/>
    <col customWidth="1" min="4" max="4" width="50.5"/>
    <col customWidth="1" min="5" max="6" width="12.63"/>
  </cols>
  <sheetData>
    <row r="1">
      <c r="A1" s="140" t="s">
        <v>370</v>
      </c>
      <c r="B1" s="167" t="s">
        <v>371</v>
      </c>
      <c r="D1" s="160"/>
    </row>
    <row r="2">
      <c r="A2" s="140" t="s">
        <v>372</v>
      </c>
      <c r="D2" s="160"/>
    </row>
    <row r="3">
      <c r="A3" s="143" t="s">
        <v>378</v>
      </c>
      <c r="B3" s="143" t="s">
        <v>379</v>
      </c>
      <c r="C3" s="143" t="s">
        <v>388</v>
      </c>
      <c r="D3" s="143" t="s">
        <v>410</v>
      </c>
    </row>
    <row r="4" ht="383.25" customHeight="1">
      <c r="A4" s="157"/>
      <c r="B4" s="1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kkaqhh7kuvt8" ref="B1"/>
    <hyperlink display="Priorities &amp; Status" location="'Priorities &amp; Status'!A1" ref="A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63"/>
    <col customWidth="1" min="2" max="2" width="44.38"/>
    <col customWidth="1" min="3" max="3" width="31.0"/>
    <col customWidth="1" min="4" max="4" width="36.63"/>
    <col customWidth="1" min="5" max="5" width="35.25"/>
    <col customWidth="1" hidden="1" min="6" max="6" width="48.25"/>
    <col customWidth="1" min="7" max="7" width="64.88"/>
    <col customWidth="1" hidden="1" min="8" max="8" width="39.88"/>
  </cols>
  <sheetData>
    <row r="1">
      <c r="A1" s="140" t="s">
        <v>370</v>
      </c>
      <c r="B1" s="167" t="s">
        <v>371</v>
      </c>
      <c r="G1" s="171" t="s">
        <v>417</v>
      </c>
    </row>
    <row r="2">
      <c r="A2" s="140" t="s">
        <v>372</v>
      </c>
    </row>
    <row r="3">
      <c r="A3" s="143" t="s">
        <v>418</v>
      </c>
      <c r="B3" s="143" t="s">
        <v>419</v>
      </c>
      <c r="C3" s="143" t="s">
        <v>420</v>
      </c>
      <c r="D3" s="143" t="s">
        <v>421</v>
      </c>
      <c r="E3" s="143" t="s">
        <v>422</v>
      </c>
      <c r="F3" s="143" t="s">
        <v>423</v>
      </c>
      <c r="G3" s="143" t="s">
        <v>424</v>
      </c>
      <c r="H3" s="188" t="s">
        <v>425</v>
      </c>
    </row>
    <row r="4" ht="57.75" customHeight="1">
      <c r="A4" s="189"/>
      <c r="B4" s="189"/>
      <c r="C4" s="189"/>
      <c r="D4" s="189"/>
      <c r="E4" s="190"/>
      <c r="F4" s="191"/>
      <c r="G4" s="192"/>
      <c r="H4" s="191" t="s">
        <v>426</v>
      </c>
    </row>
    <row r="5" ht="57.75" customHeight="1">
      <c r="A5" s="189"/>
      <c r="B5" s="189"/>
      <c r="C5" s="189"/>
      <c r="D5" s="189"/>
      <c r="E5" s="190"/>
      <c r="F5" s="191"/>
      <c r="G5" s="190"/>
      <c r="H5" s="191" t="s">
        <v>427</v>
      </c>
    </row>
    <row r="6" ht="57.75" customHeight="1">
      <c r="A6" s="191"/>
      <c r="B6" s="191"/>
      <c r="C6" s="191"/>
      <c r="D6" s="191"/>
      <c r="E6" s="190"/>
      <c r="F6" s="191"/>
      <c r="G6" s="190"/>
      <c r="H6" s="191" t="s">
        <v>428</v>
      </c>
    </row>
    <row r="7" ht="57.75" customHeight="1">
      <c r="A7" s="191"/>
      <c r="B7" s="191"/>
      <c r="C7" s="191"/>
      <c r="D7" s="191"/>
      <c r="E7" s="190"/>
      <c r="F7" s="191"/>
      <c r="G7" s="190"/>
      <c r="H7" s="191" t="s">
        <v>429</v>
      </c>
    </row>
    <row r="8" ht="57.75" customHeight="1">
      <c r="A8" s="191"/>
      <c r="B8" s="191"/>
      <c r="C8" s="191"/>
      <c r="D8" s="191"/>
      <c r="E8" s="190"/>
      <c r="F8" s="191"/>
      <c r="G8" s="190"/>
      <c r="H8" s="191" t="s">
        <v>430</v>
      </c>
    </row>
    <row r="9" ht="57.75" customHeight="1">
      <c r="A9" s="191"/>
      <c r="B9" s="191"/>
      <c r="C9" s="191"/>
      <c r="D9" s="191"/>
      <c r="E9" s="190"/>
      <c r="F9" s="191"/>
      <c r="G9" s="190"/>
      <c r="H9" s="191" t="s">
        <v>429</v>
      </c>
    </row>
    <row r="10" ht="57.75" customHeight="1">
      <c r="A10" s="191"/>
      <c r="B10" s="191"/>
      <c r="C10" s="191"/>
      <c r="D10" s="191"/>
      <c r="E10" s="190"/>
      <c r="F10" s="191"/>
      <c r="G10" s="190"/>
      <c r="H10" s="191" t="s">
        <v>431</v>
      </c>
    </row>
    <row r="11" ht="57.75" customHeight="1">
      <c r="A11" s="191"/>
      <c r="B11" s="191"/>
      <c r="C11" s="191"/>
      <c r="D11" s="191"/>
      <c r="E11" s="190"/>
      <c r="F11" s="191"/>
      <c r="G11" s="190"/>
      <c r="H11" s="193"/>
    </row>
    <row r="12" ht="57.75" customHeight="1">
      <c r="A12" s="191"/>
      <c r="B12" s="191"/>
      <c r="C12" s="191"/>
      <c r="D12" s="191"/>
      <c r="E12" s="190"/>
      <c r="F12" s="191"/>
      <c r="G12" s="190"/>
      <c r="H12" s="191" t="s">
        <v>429</v>
      </c>
    </row>
    <row r="13" ht="57.75" customHeight="1">
      <c r="A13" s="191"/>
      <c r="B13" s="191"/>
      <c r="C13" s="191"/>
      <c r="D13" s="191"/>
      <c r="E13" s="190"/>
      <c r="F13" s="191"/>
      <c r="G13" s="190"/>
      <c r="H13" s="191" t="s">
        <v>432</v>
      </c>
    </row>
    <row r="14" ht="57.75" customHeight="1">
      <c r="A14" s="191"/>
      <c r="B14" s="191"/>
      <c r="C14" s="191"/>
      <c r="D14" s="191"/>
      <c r="E14" s="190"/>
      <c r="F14" s="191"/>
      <c r="G14" s="190"/>
      <c r="H14" s="191" t="s">
        <v>433</v>
      </c>
    </row>
    <row r="15" ht="57.75" customHeight="1">
      <c r="A15" s="191"/>
      <c r="B15" s="191"/>
      <c r="C15" s="191"/>
      <c r="D15" s="191"/>
      <c r="E15" s="190"/>
      <c r="F15" s="191"/>
      <c r="G15" s="190"/>
      <c r="H15" s="193"/>
    </row>
    <row r="16" ht="57.75" customHeight="1">
      <c r="A16" s="191"/>
      <c r="B16" s="191"/>
      <c r="C16" s="191"/>
      <c r="D16" s="191"/>
      <c r="E16" s="190"/>
      <c r="F16" s="191"/>
      <c r="G16" s="190"/>
      <c r="H16" s="191" t="s">
        <v>429</v>
      </c>
    </row>
    <row r="17">
      <c r="H17" s="194"/>
    </row>
    <row r="18">
      <c r="H18" s="194"/>
    </row>
    <row r="19">
      <c r="H19" s="194"/>
    </row>
    <row r="20">
      <c r="H20" s="194"/>
    </row>
    <row r="21" ht="15.75" customHeight="1">
      <c r="H21" s="194"/>
    </row>
    <row r="22" ht="15.75" customHeight="1">
      <c r="H22" s="194"/>
    </row>
    <row r="23" ht="15.75" customHeight="1">
      <c r="H23" s="194"/>
    </row>
    <row r="24" ht="15.75" customHeight="1">
      <c r="H24" s="194"/>
    </row>
    <row r="25" ht="15.75" customHeight="1">
      <c r="H25" s="194"/>
    </row>
    <row r="26" ht="15.75" customHeight="1">
      <c r="H26" s="194"/>
    </row>
    <row r="27" ht="15.75" customHeight="1">
      <c r="H27" s="194"/>
    </row>
    <row r="28" ht="15.75" customHeight="1">
      <c r="H28" s="194"/>
    </row>
    <row r="29" ht="15.75" customHeight="1">
      <c r="H29" s="194"/>
    </row>
    <row r="30" ht="15.75" customHeight="1">
      <c r="H30" s="194"/>
    </row>
    <row r="31" ht="15.75" customHeight="1">
      <c r="H31" s="194"/>
    </row>
    <row r="32" ht="15.75" customHeight="1">
      <c r="H32" s="194"/>
    </row>
    <row r="33" ht="15.75" customHeight="1">
      <c r="H33" s="194"/>
    </row>
    <row r="34" ht="15.75" customHeight="1">
      <c r="H34" s="194"/>
    </row>
    <row r="35" ht="15.75" customHeight="1">
      <c r="H35" s="194"/>
    </row>
    <row r="36" ht="15.75" customHeight="1">
      <c r="H36" s="194"/>
    </row>
    <row r="37" ht="15.75" customHeight="1">
      <c r="H37" s="194"/>
    </row>
    <row r="38" ht="15.75" customHeight="1">
      <c r="H38" s="194"/>
    </row>
    <row r="39" ht="15.75" customHeight="1">
      <c r="H39" s="194"/>
    </row>
    <row r="40" ht="15.75" customHeight="1">
      <c r="H40" s="194"/>
    </row>
    <row r="41" ht="15.75" customHeight="1">
      <c r="H41" s="194"/>
    </row>
    <row r="42" ht="15.75" customHeight="1">
      <c r="H42" s="194"/>
    </row>
    <row r="43" ht="15.75" customHeight="1">
      <c r="H43" s="194"/>
    </row>
    <row r="44" ht="15.75" customHeight="1">
      <c r="H44" s="194"/>
    </row>
    <row r="45" ht="15.75" customHeight="1">
      <c r="H45" s="194"/>
    </row>
    <row r="46" ht="15.75" customHeight="1">
      <c r="H46" s="194"/>
    </row>
    <row r="47" ht="15.75" customHeight="1">
      <c r="H47" s="194"/>
    </row>
    <row r="48" ht="15.75" customHeight="1">
      <c r="H48" s="194"/>
    </row>
    <row r="49" ht="15.75" customHeight="1">
      <c r="H49" s="194"/>
    </row>
    <row r="50" ht="15.75" customHeight="1">
      <c r="H50" s="194"/>
    </row>
    <row r="51" ht="15.75" customHeight="1">
      <c r="H51" s="194"/>
    </row>
    <row r="52" ht="15.75" customHeight="1">
      <c r="H52" s="194"/>
    </row>
    <row r="53" ht="15.75" customHeight="1">
      <c r="H53" s="194"/>
    </row>
    <row r="54" ht="15.75" customHeight="1">
      <c r="H54" s="194"/>
    </row>
    <row r="55" ht="15.75" customHeight="1">
      <c r="H55" s="194"/>
    </row>
    <row r="56" ht="15.75" customHeight="1">
      <c r="H56" s="194"/>
    </row>
    <row r="57" ht="15.75" customHeight="1">
      <c r="H57" s="194"/>
    </row>
    <row r="58" ht="15.75" customHeight="1">
      <c r="H58" s="194"/>
    </row>
    <row r="59" ht="15.75" customHeight="1">
      <c r="H59" s="194"/>
    </row>
    <row r="60" ht="15.75" customHeight="1">
      <c r="H60" s="194"/>
    </row>
    <row r="61" ht="15.75" customHeight="1">
      <c r="H61" s="194"/>
    </row>
    <row r="62" ht="15.75" customHeight="1">
      <c r="H62" s="194"/>
    </row>
    <row r="63" ht="15.75" customHeight="1">
      <c r="H63" s="194"/>
    </row>
    <row r="64" ht="15.75" customHeight="1">
      <c r="H64" s="194"/>
    </row>
    <row r="65" ht="15.75" customHeight="1">
      <c r="H65" s="194"/>
    </row>
    <row r="66" ht="15.75" customHeight="1">
      <c r="H66" s="194"/>
    </row>
    <row r="67" ht="15.75" customHeight="1">
      <c r="H67" s="194"/>
    </row>
    <row r="68" ht="15.75" customHeight="1">
      <c r="H68" s="194"/>
    </row>
    <row r="69" ht="15.75" customHeight="1">
      <c r="H69" s="194"/>
    </row>
    <row r="70" ht="15.75" customHeight="1">
      <c r="H70" s="194"/>
    </row>
    <row r="71" ht="15.75" customHeight="1">
      <c r="H71" s="194"/>
    </row>
    <row r="72" ht="15.75" customHeight="1">
      <c r="H72" s="194"/>
    </row>
    <row r="73" ht="15.75" customHeight="1">
      <c r="H73" s="194"/>
    </row>
    <row r="74" ht="15.75" customHeight="1">
      <c r="H74" s="194"/>
    </row>
    <row r="75" ht="15.75" customHeight="1">
      <c r="H75" s="194"/>
    </row>
    <row r="76" ht="15.75" customHeight="1">
      <c r="H76" s="194"/>
    </row>
    <row r="77" ht="15.75" customHeight="1">
      <c r="H77" s="194"/>
    </row>
    <row r="78" ht="15.75" customHeight="1">
      <c r="H78" s="194"/>
    </row>
    <row r="79" ht="15.75" customHeight="1">
      <c r="H79" s="194"/>
    </row>
    <row r="80" ht="15.75" customHeight="1">
      <c r="H80" s="194"/>
    </row>
    <row r="81" ht="15.75" customHeight="1">
      <c r="H81" s="194"/>
    </row>
    <row r="82" ht="15.75" customHeight="1">
      <c r="H82" s="194"/>
    </row>
    <row r="83" ht="15.75" customHeight="1">
      <c r="H83" s="194"/>
    </row>
    <row r="84" ht="15.75" customHeight="1">
      <c r="H84" s="194"/>
    </row>
    <row r="85" ht="15.75" customHeight="1">
      <c r="H85" s="194"/>
    </row>
    <row r="86" ht="15.75" customHeight="1">
      <c r="H86" s="194"/>
    </row>
    <row r="87" ht="15.75" customHeight="1">
      <c r="H87" s="194"/>
    </row>
    <row r="88" ht="15.75" customHeight="1">
      <c r="H88" s="194"/>
    </row>
    <row r="89" ht="15.75" customHeight="1">
      <c r="H89" s="194"/>
    </row>
    <row r="90" ht="15.75" customHeight="1">
      <c r="H90" s="194"/>
    </row>
    <row r="91" ht="15.75" customHeight="1">
      <c r="H91" s="194"/>
    </row>
    <row r="92" ht="15.75" customHeight="1">
      <c r="H92" s="194"/>
    </row>
    <row r="93" ht="15.75" customHeight="1">
      <c r="H93" s="194"/>
    </row>
    <row r="94" ht="15.75" customHeight="1">
      <c r="H94" s="194"/>
    </row>
    <row r="95" ht="15.75" customHeight="1">
      <c r="H95" s="194"/>
    </row>
    <row r="96" ht="15.75" customHeight="1">
      <c r="H96" s="194"/>
    </row>
    <row r="97" ht="15.75" customHeight="1">
      <c r="H97" s="194"/>
    </row>
    <row r="98" ht="15.75" customHeight="1">
      <c r="H98" s="194"/>
    </row>
    <row r="99" ht="15.75" customHeight="1">
      <c r="H99" s="194"/>
    </row>
    <row r="100" ht="15.75" customHeight="1">
      <c r="H100" s="194"/>
    </row>
    <row r="101" ht="15.75" customHeight="1">
      <c r="H101" s="194"/>
    </row>
    <row r="102" ht="15.75" customHeight="1">
      <c r="H102" s="194"/>
    </row>
    <row r="103" ht="15.75" customHeight="1">
      <c r="H103" s="194"/>
    </row>
    <row r="104" ht="15.75" customHeight="1">
      <c r="H104" s="194"/>
    </row>
    <row r="105" ht="15.75" customHeight="1">
      <c r="H105" s="194"/>
    </row>
    <row r="106" ht="15.75" customHeight="1">
      <c r="H106" s="194"/>
    </row>
    <row r="107" ht="15.75" customHeight="1">
      <c r="H107" s="194"/>
    </row>
    <row r="108" ht="15.75" customHeight="1">
      <c r="H108" s="194"/>
    </row>
    <row r="109" ht="15.75" customHeight="1">
      <c r="H109" s="194"/>
    </row>
    <row r="110" ht="15.75" customHeight="1">
      <c r="H110" s="194"/>
    </row>
    <row r="111" ht="15.75" customHeight="1">
      <c r="H111" s="194"/>
    </row>
    <row r="112" ht="15.75" customHeight="1">
      <c r="H112" s="194"/>
    </row>
    <row r="113" ht="15.75" customHeight="1">
      <c r="H113" s="194"/>
    </row>
    <row r="114" ht="15.75" customHeight="1">
      <c r="H114" s="194"/>
    </row>
    <row r="115" ht="15.75" customHeight="1">
      <c r="H115" s="194"/>
    </row>
    <row r="116" ht="15.75" customHeight="1">
      <c r="H116" s="194"/>
    </row>
    <row r="117" ht="15.75" customHeight="1">
      <c r="H117" s="194"/>
    </row>
    <row r="118" ht="15.75" customHeight="1">
      <c r="H118" s="194"/>
    </row>
    <row r="119" ht="15.75" customHeight="1">
      <c r="H119" s="194"/>
    </row>
    <row r="120" ht="15.75" customHeight="1">
      <c r="H120" s="194"/>
    </row>
    <row r="121" ht="15.75" customHeight="1">
      <c r="H121" s="194"/>
    </row>
    <row r="122" ht="15.75" customHeight="1">
      <c r="H122" s="194"/>
    </row>
    <row r="123" ht="15.75" customHeight="1">
      <c r="H123" s="194"/>
    </row>
    <row r="124" ht="15.75" customHeight="1">
      <c r="H124" s="194"/>
    </row>
    <row r="125" ht="15.75" customHeight="1">
      <c r="H125" s="194"/>
    </row>
    <row r="126" ht="15.75" customHeight="1">
      <c r="H126" s="194"/>
    </row>
    <row r="127" ht="15.75" customHeight="1">
      <c r="H127" s="194"/>
    </row>
    <row r="128" ht="15.75" customHeight="1">
      <c r="H128" s="194"/>
    </row>
    <row r="129" ht="15.75" customHeight="1">
      <c r="H129" s="194"/>
    </row>
    <row r="130" ht="15.75" customHeight="1">
      <c r="H130" s="194"/>
    </row>
    <row r="131" ht="15.75" customHeight="1">
      <c r="H131" s="194"/>
    </row>
    <row r="132" ht="15.75" customHeight="1">
      <c r="H132" s="194"/>
    </row>
    <row r="133" ht="15.75" customHeight="1">
      <c r="H133" s="194"/>
    </row>
    <row r="134" ht="15.75" customHeight="1">
      <c r="H134" s="194"/>
    </row>
    <row r="135" ht="15.75" customHeight="1">
      <c r="H135" s="194"/>
    </row>
    <row r="136" ht="15.75" customHeight="1">
      <c r="H136" s="194"/>
    </row>
    <row r="137" ht="15.75" customHeight="1">
      <c r="H137" s="194"/>
    </row>
    <row r="138" ht="15.75" customHeight="1">
      <c r="H138" s="194"/>
    </row>
    <row r="139" ht="15.75" customHeight="1">
      <c r="H139" s="194"/>
    </row>
    <row r="140" ht="15.75" customHeight="1">
      <c r="H140" s="194"/>
    </row>
    <row r="141" ht="15.75" customHeight="1">
      <c r="H141" s="194"/>
    </row>
    <row r="142" ht="15.75" customHeight="1">
      <c r="H142" s="194"/>
    </row>
    <row r="143" ht="15.75" customHeight="1">
      <c r="H143" s="194"/>
    </row>
    <row r="144" ht="15.75" customHeight="1">
      <c r="H144" s="194"/>
    </row>
    <row r="145" ht="15.75" customHeight="1">
      <c r="H145" s="194"/>
    </row>
    <row r="146" ht="15.75" customHeight="1">
      <c r="H146" s="194"/>
    </row>
    <row r="147" ht="15.75" customHeight="1">
      <c r="H147" s="194"/>
    </row>
    <row r="148" ht="15.75" customHeight="1">
      <c r="H148" s="194"/>
    </row>
    <row r="149" ht="15.75" customHeight="1">
      <c r="H149" s="194"/>
    </row>
    <row r="150" ht="15.75" customHeight="1">
      <c r="H150" s="194"/>
    </row>
    <row r="151" ht="15.75" customHeight="1">
      <c r="H151" s="194"/>
    </row>
    <row r="152" ht="15.75" customHeight="1">
      <c r="H152" s="194"/>
    </row>
    <row r="153" ht="15.75" customHeight="1">
      <c r="H153" s="194"/>
    </row>
    <row r="154" ht="15.75" customHeight="1">
      <c r="H154" s="194"/>
    </row>
    <row r="155" ht="15.75" customHeight="1">
      <c r="H155" s="194"/>
    </row>
    <row r="156" ht="15.75" customHeight="1">
      <c r="H156" s="194"/>
    </row>
    <row r="157" ht="15.75" customHeight="1">
      <c r="H157" s="194"/>
    </row>
    <row r="158" ht="15.75" customHeight="1">
      <c r="H158" s="194"/>
    </row>
    <row r="159" ht="15.75" customHeight="1">
      <c r="H159" s="194"/>
    </row>
    <row r="160" ht="15.75" customHeight="1">
      <c r="H160" s="194"/>
    </row>
    <row r="161" ht="15.75" customHeight="1">
      <c r="H161" s="194"/>
    </row>
    <row r="162" ht="15.75" customHeight="1">
      <c r="H162" s="194"/>
    </row>
    <row r="163" ht="15.75" customHeight="1">
      <c r="H163" s="194"/>
    </row>
    <row r="164" ht="15.75" customHeight="1">
      <c r="H164" s="194"/>
    </row>
    <row r="165" ht="15.75" customHeight="1">
      <c r="H165" s="194"/>
    </row>
    <row r="166" ht="15.75" customHeight="1">
      <c r="H166" s="194"/>
    </row>
    <row r="167" ht="15.75" customHeight="1">
      <c r="H167" s="194"/>
    </row>
    <row r="168" ht="15.75" customHeight="1">
      <c r="H168" s="194"/>
    </row>
    <row r="169" ht="15.75" customHeight="1">
      <c r="H169" s="194"/>
    </row>
    <row r="170" ht="15.75" customHeight="1">
      <c r="H170" s="194"/>
    </row>
    <row r="171" ht="15.75" customHeight="1">
      <c r="H171" s="194"/>
    </row>
    <row r="172" ht="15.75" customHeight="1">
      <c r="H172" s="194"/>
    </row>
    <row r="173" ht="15.75" customHeight="1">
      <c r="H173" s="194"/>
    </row>
    <row r="174" ht="15.75" customHeight="1">
      <c r="H174" s="194"/>
    </row>
    <row r="175" ht="15.75" customHeight="1">
      <c r="H175" s="194"/>
    </row>
    <row r="176" ht="15.75" customHeight="1">
      <c r="H176" s="194"/>
    </row>
    <row r="177" ht="15.75" customHeight="1">
      <c r="H177" s="194"/>
    </row>
    <row r="178" ht="15.75" customHeight="1">
      <c r="H178" s="194"/>
    </row>
    <row r="179" ht="15.75" customHeight="1">
      <c r="H179" s="194"/>
    </row>
    <row r="180" ht="15.75" customHeight="1">
      <c r="H180" s="194"/>
    </row>
    <row r="181" ht="15.75" customHeight="1">
      <c r="H181" s="194"/>
    </row>
    <row r="182" ht="15.75" customHeight="1">
      <c r="H182" s="194"/>
    </row>
    <row r="183" ht="15.75" customHeight="1">
      <c r="H183" s="194"/>
    </row>
    <row r="184" ht="15.75" customHeight="1">
      <c r="H184" s="194"/>
    </row>
    <row r="185" ht="15.75" customHeight="1">
      <c r="H185" s="194"/>
    </row>
    <row r="186" ht="15.75" customHeight="1">
      <c r="H186" s="194"/>
    </row>
    <row r="187" ht="15.75" customHeight="1">
      <c r="H187" s="194"/>
    </row>
    <row r="188" ht="15.75" customHeight="1">
      <c r="H188" s="194"/>
    </row>
    <row r="189" ht="15.75" customHeight="1">
      <c r="H189" s="194"/>
    </row>
    <row r="190" ht="15.75" customHeight="1">
      <c r="H190" s="194"/>
    </row>
    <row r="191" ht="15.75" customHeight="1">
      <c r="H191" s="194"/>
    </row>
    <row r="192" ht="15.75" customHeight="1">
      <c r="H192" s="194"/>
    </row>
    <row r="193" ht="15.75" customHeight="1">
      <c r="H193" s="194"/>
    </row>
    <row r="194" ht="15.75" customHeight="1">
      <c r="H194" s="194"/>
    </row>
    <row r="195" ht="15.75" customHeight="1">
      <c r="H195" s="194"/>
    </row>
    <row r="196" ht="15.75" customHeight="1">
      <c r="H196" s="194"/>
    </row>
    <row r="197" ht="15.75" customHeight="1">
      <c r="H197" s="194"/>
    </row>
    <row r="198" ht="15.75" customHeight="1">
      <c r="H198" s="194"/>
    </row>
    <row r="199" ht="15.75" customHeight="1">
      <c r="H199" s="194"/>
    </row>
    <row r="200" ht="15.75" customHeight="1">
      <c r="H200" s="194"/>
    </row>
    <row r="201" ht="15.75" customHeight="1">
      <c r="H201" s="194"/>
    </row>
    <row r="202" ht="15.75" customHeight="1">
      <c r="H202" s="194"/>
    </row>
    <row r="203" ht="15.75" customHeight="1">
      <c r="H203" s="194"/>
    </row>
    <row r="204" ht="15.75" customHeight="1">
      <c r="H204" s="194"/>
    </row>
    <row r="205" ht="15.75" customHeight="1">
      <c r="H205" s="194"/>
    </row>
    <row r="206" ht="15.75" customHeight="1">
      <c r="H206" s="194"/>
    </row>
    <row r="207" ht="15.75" customHeight="1">
      <c r="H207" s="194"/>
    </row>
    <row r="208" ht="15.75" customHeight="1">
      <c r="H208" s="194"/>
    </row>
    <row r="209" ht="15.75" customHeight="1">
      <c r="H209" s="194"/>
    </row>
    <row r="210" ht="15.75" customHeight="1">
      <c r="H210" s="194"/>
    </row>
    <row r="211" ht="15.75" customHeight="1">
      <c r="H211" s="194"/>
    </row>
    <row r="212" ht="15.75" customHeight="1">
      <c r="H212" s="194"/>
    </row>
    <row r="213" ht="15.75" customHeight="1">
      <c r="H213" s="194"/>
    </row>
    <row r="214" ht="15.75" customHeight="1">
      <c r="H214" s="194"/>
    </row>
    <row r="215" ht="15.75" customHeight="1">
      <c r="H215" s="194"/>
    </row>
    <row r="216" ht="15.75" customHeight="1">
      <c r="H216" s="194"/>
    </row>
    <row r="217" ht="15.75" customHeight="1">
      <c r="H217" s="194"/>
    </row>
    <row r="218" ht="15.75" customHeight="1">
      <c r="H218" s="194"/>
    </row>
    <row r="219" ht="15.75" customHeight="1">
      <c r="H219" s="194"/>
    </row>
    <row r="220" ht="15.75" customHeight="1">
      <c r="H220" s="194"/>
    </row>
    <row r="221" ht="15.75" customHeight="1">
      <c r="H221" s="194"/>
    </row>
    <row r="222" ht="15.75" customHeight="1">
      <c r="H222" s="194"/>
    </row>
    <row r="223" ht="15.75" customHeight="1">
      <c r="H223" s="194"/>
    </row>
    <row r="224" ht="15.75" customHeight="1">
      <c r="H224" s="194"/>
    </row>
    <row r="225" ht="15.75" customHeight="1">
      <c r="H225" s="194"/>
    </row>
    <row r="226" ht="15.75" customHeight="1">
      <c r="H226" s="194"/>
    </row>
    <row r="227" ht="15.75" customHeight="1">
      <c r="H227" s="194"/>
    </row>
    <row r="228" ht="15.75" customHeight="1">
      <c r="H228" s="194"/>
    </row>
    <row r="229" ht="15.75" customHeight="1">
      <c r="H229" s="194"/>
    </row>
    <row r="230" ht="15.75" customHeight="1">
      <c r="H230" s="194"/>
    </row>
    <row r="231" ht="15.75" customHeight="1">
      <c r="H231" s="194"/>
    </row>
    <row r="232" ht="15.75" customHeight="1">
      <c r="H232" s="194"/>
    </row>
    <row r="233" ht="15.75" customHeight="1">
      <c r="H233" s="194"/>
    </row>
    <row r="234" ht="15.75" customHeight="1">
      <c r="H234" s="194"/>
    </row>
    <row r="235" ht="15.75" customHeight="1">
      <c r="H235" s="194"/>
    </row>
    <row r="236" ht="15.75" customHeight="1">
      <c r="H236" s="194"/>
    </row>
    <row r="237" ht="15.75" customHeight="1">
      <c r="H237" s="194"/>
    </row>
    <row r="238" ht="15.75" customHeight="1">
      <c r="H238" s="194"/>
    </row>
    <row r="239" ht="15.75" customHeight="1">
      <c r="H239" s="194"/>
    </row>
    <row r="240" ht="15.75" customHeight="1">
      <c r="H240" s="194"/>
    </row>
    <row r="241" ht="15.75" customHeight="1">
      <c r="H241" s="194"/>
    </row>
    <row r="242" ht="15.75" customHeight="1">
      <c r="H242" s="194"/>
    </row>
    <row r="243" ht="15.75" customHeight="1">
      <c r="H243" s="194"/>
    </row>
    <row r="244" ht="15.75" customHeight="1">
      <c r="H244" s="194"/>
    </row>
    <row r="245" ht="15.75" customHeight="1">
      <c r="H245" s="194"/>
    </row>
    <row r="246" ht="15.75" customHeight="1">
      <c r="H246" s="194"/>
    </row>
    <row r="247" ht="15.75" customHeight="1">
      <c r="H247" s="194"/>
    </row>
    <row r="248" ht="15.75" customHeight="1">
      <c r="H248" s="194"/>
    </row>
    <row r="249" ht="15.75" customHeight="1">
      <c r="H249" s="194"/>
    </row>
    <row r="250" ht="15.75" customHeight="1">
      <c r="H250" s="194"/>
    </row>
    <row r="251" ht="15.75" customHeight="1">
      <c r="H251" s="194"/>
    </row>
    <row r="252" ht="15.75" customHeight="1">
      <c r="H252" s="194"/>
    </row>
    <row r="253" ht="15.75" customHeight="1">
      <c r="H253" s="194"/>
    </row>
    <row r="254" ht="15.75" customHeight="1">
      <c r="H254" s="194"/>
    </row>
    <row r="255" ht="15.75" customHeight="1">
      <c r="H255" s="194"/>
    </row>
    <row r="256" ht="15.75" customHeight="1">
      <c r="H256" s="194"/>
    </row>
    <row r="257" ht="15.75" customHeight="1">
      <c r="H257" s="194"/>
    </row>
    <row r="258" ht="15.75" customHeight="1">
      <c r="H258" s="194"/>
    </row>
    <row r="259" ht="15.75" customHeight="1">
      <c r="H259" s="194"/>
    </row>
    <row r="260" ht="15.75" customHeight="1">
      <c r="H260" s="194"/>
    </row>
    <row r="261" ht="15.75" customHeight="1">
      <c r="H261" s="194"/>
    </row>
    <row r="262" ht="15.75" customHeight="1">
      <c r="H262" s="194"/>
    </row>
    <row r="263" ht="15.75" customHeight="1">
      <c r="H263" s="194"/>
    </row>
    <row r="264" ht="15.75" customHeight="1">
      <c r="H264" s="194"/>
    </row>
    <row r="265" ht="15.75" customHeight="1">
      <c r="H265" s="194"/>
    </row>
    <row r="266" ht="15.75" customHeight="1">
      <c r="H266" s="194"/>
    </row>
    <row r="267" ht="15.75" customHeight="1">
      <c r="H267" s="194"/>
    </row>
    <row r="268" ht="15.75" customHeight="1">
      <c r="H268" s="194"/>
    </row>
    <row r="269" ht="15.75" customHeight="1">
      <c r="H269" s="194"/>
    </row>
    <row r="270" ht="15.75" customHeight="1">
      <c r="H270" s="194"/>
    </row>
    <row r="271" ht="15.75" customHeight="1">
      <c r="H271" s="194"/>
    </row>
    <row r="272" ht="15.75" customHeight="1">
      <c r="H272" s="194"/>
    </row>
    <row r="273" ht="15.75" customHeight="1">
      <c r="H273" s="194"/>
    </row>
    <row r="274" ht="15.75" customHeight="1">
      <c r="H274" s="194"/>
    </row>
    <row r="275" ht="15.75" customHeight="1">
      <c r="H275" s="194"/>
    </row>
    <row r="276" ht="15.75" customHeight="1">
      <c r="H276" s="194"/>
    </row>
    <row r="277" ht="15.75" customHeight="1">
      <c r="H277" s="194"/>
    </row>
    <row r="278" ht="15.75" customHeight="1">
      <c r="H278" s="194"/>
    </row>
    <row r="279" ht="15.75" customHeight="1">
      <c r="H279" s="194"/>
    </row>
    <row r="280" ht="15.75" customHeight="1">
      <c r="H280" s="194"/>
    </row>
    <row r="281" ht="15.75" customHeight="1">
      <c r="H281" s="194"/>
    </row>
    <row r="282" ht="15.75" customHeight="1">
      <c r="H282" s="194"/>
    </row>
    <row r="283" ht="15.75" customHeight="1">
      <c r="H283" s="194"/>
    </row>
    <row r="284" ht="15.75" customHeight="1">
      <c r="H284" s="194"/>
    </row>
    <row r="285" ht="15.75" customHeight="1">
      <c r="H285" s="194"/>
    </row>
    <row r="286" ht="15.75" customHeight="1">
      <c r="H286" s="194"/>
    </row>
    <row r="287" ht="15.75" customHeight="1">
      <c r="H287" s="194"/>
    </row>
    <row r="288" ht="15.75" customHeight="1">
      <c r="H288" s="194"/>
    </row>
    <row r="289" ht="15.75" customHeight="1">
      <c r="H289" s="194"/>
    </row>
    <row r="290" ht="15.75" customHeight="1">
      <c r="H290" s="194"/>
    </row>
    <row r="291" ht="15.75" customHeight="1">
      <c r="H291" s="194"/>
    </row>
    <row r="292" ht="15.75" customHeight="1">
      <c r="H292" s="194"/>
    </row>
    <row r="293" ht="15.75" customHeight="1">
      <c r="H293" s="194"/>
    </row>
    <row r="294" ht="15.75" customHeight="1">
      <c r="H294" s="194"/>
    </row>
    <row r="295" ht="15.75" customHeight="1">
      <c r="H295" s="194"/>
    </row>
    <row r="296" ht="15.75" customHeight="1">
      <c r="H296" s="194"/>
    </row>
    <row r="297" ht="15.75" customHeight="1">
      <c r="H297" s="194"/>
    </row>
    <row r="298" ht="15.75" customHeight="1">
      <c r="H298" s="194"/>
    </row>
    <row r="299" ht="15.75" customHeight="1">
      <c r="H299" s="194"/>
    </row>
    <row r="300" ht="15.75" customHeight="1">
      <c r="H300" s="194"/>
    </row>
    <row r="301" ht="15.75" customHeight="1">
      <c r="H301" s="194"/>
    </row>
    <row r="302" ht="15.75" customHeight="1">
      <c r="H302" s="194"/>
    </row>
    <row r="303" ht="15.75" customHeight="1">
      <c r="H303" s="194"/>
    </row>
    <row r="304" ht="15.75" customHeight="1">
      <c r="H304" s="194"/>
    </row>
    <row r="305" ht="15.75" customHeight="1">
      <c r="H305" s="194"/>
    </row>
    <row r="306" ht="15.75" customHeight="1">
      <c r="H306" s="194"/>
    </row>
    <row r="307" ht="15.75" customHeight="1">
      <c r="H307" s="194"/>
    </row>
    <row r="308" ht="15.75" customHeight="1">
      <c r="H308" s="194"/>
    </row>
    <row r="309" ht="15.75" customHeight="1">
      <c r="H309" s="194"/>
    </row>
    <row r="310" ht="15.75" customHeight="1">
      <c r="H310" s="194"/>
    </row>
    <row r="311" ht="15.75" customHeight="1">
      <c r="H311" s="194"/>
    </row>
    <row r="312" ht="15.75" customHeight="1">
      <c r="H312" s="194"/>
    </row>
    <row r="313" ht="15.75" customHeight="1">
      <c r="H313" s="194"/>
    </row>
    <row r="314" ht="15.75" customHeight="1">
      <c r="H314" s="194"/>
    </row>
    <row r="315" ht="15.75" customHeight="1">
      <c r="H315" s="194"/>
    </row>
    <row r="316" ht="15.75" customHeight="1">
      <c r="H316" s="194"/>
    </row>
    <row r="317" ht="15.75" customHeight="1">
      <c r="H317" s="194"/>
    </row>
    <row r="318" ht="15.75" customHeight="1">
      <c r="H318" s="194"/>
    </row>
    <row r="319" ht="15.75" customHeight="1">
      <c r="H319" s="194"/>
    </row>
    <row r="320" ht="15.75" customHeight="1">
      <c r="H320" s="194"/>
    </row>
    <row r="321" ht="15.75" customHeight="1">
      <c r="H321" s="194"/>
    </row>
    <row r="322" ht="15.75" customHeight="1">
      <c r="H322" s="194"/>
    </row>
    <row r="323" ht="15.75" customHeight="1">
      <c r="H323" s="194"/>
    </row>
    <row r="324" ht="15.75" customHeight="1">
      <c r="H324" s="194"/>
    </row>
    <row r="325" ht="15.75" customHeight="1">
      <c r="H325" s="194"/>
    </row>
    <row r="326" ht="15.75" customHeight="1">
      <c r="H326" s="194"/>
    </row>
    <row r="327" ht="15.75" customHeight="1">
      <c r="H327" s="194"/>
    </row>
    <row r="328" ht="15.75" customHeight="1">
      <c r="H328" s="194"/>
    </row>
    <row r="329" ht="15.75" customHeight="1">
      <c r="H329" s="194"/>
    </row>
    <row r="330" ht="15.75" customHeight="1">
      <c r="H330" s="194"/>
    </row>
    <row r="331" ht="15.75" customHeight="1">
      <c r="H331" s="194"/>
    </row>
    <row r="332" ht="15.75" customHeight="1">
      <c r="H332" s="194"/>
    </row>
    <row r="333" ht="15.75" customHeight="1">
      <c r="H333" s="194"/>
    </row>
    <row r="334" ht="15.75" customHeight="1">
      <c r="H334" s="194"/>
    </row>
    <row r="335" ht="15.75" customHeight="1">
      <c r="H335" s="194"/>
    </row>
    <row r="336" ht="15.75" customHeight="1">
      <c r="H336" s="194"/>
    </row>
    <row r="337" ht="15.75" customHeight="1">
      <c r="H337" s="194"/>
    </row>
    <row r="338" ht="15.75" customHeight="1">
      <c r="H338" s="194"/>
    </row>
    <row r="339" ht="15.75" customHeight="1">
      <c r="H339" s="194"/>
    </row>
    <row r="340" ht="15.75" customHeight="1">
      <c r="H340" s="194"/>
    </row>
    <row r="341" ht="15.75" customHeight="1">
      <c r="H341" s="194"/>
    </row>
    <row r="342" ht="15.75" customHeight="1">
      <c r="H342" s="194"/>
    </row>
    <row r="343" ht="15.75" customHeight="1">
      <c r="H343" s="194"/>
    </row>
    <row r="344" ht="15.75" customHeight="1">
      <c r="H344" s="194"/>
    </row>
    <row r="345" ht="15.75" customHeight="1">
      <c r="H345" s="194"/>
    </row>
    <row r="346" ht="15.75" customHeight="1">
      <c r="H346" s="194"/>
    </row>
    <row r="347" ht="15.75" customHeight="1">
      <c r="H347" s="194"/>
    </row>
    <row r="348" ht="15.75" customHeight="1">
      <c r="H348" s="194"/>
    </row>
    <row r="349" ht="15.75" customHeight="1">
      <c r="H349" s="194"/>
    </row>
    <row r="350" ht="15.75" customHeight="1">
      <c r="H350" s="194"/>
    </row>
    <row r="351" ht="15.75" customHeight="1">
      <c r="H351" s="194"/>
    </row>
    <row r="352" ht="15.75" customHeight="1">
      <c r="H352" s="194"/>
    </row>
    <row r="353" ht="15.75" customHeight="1">
      <c r="H353" s="194"/>
    </row>
    <row r="354" ht="15.75" customHeight="1">
      <c r="H354" s="194"/>
    </row>
    <row r="355" ht="15.75" customHeight="1">
      <c r="H355" s="194"/>
    </row>
    <row r="356" ht="15.75" customHeight="1">
      <c r="H356" s="194"/>
    </row>
    <row r="357" ht="15.75" customHeight="1">
      <c r="H357" s="194"/>
    </row>
    <row r="358" ht="15.75" customHeight="1">
      <c r="H358" s="194"/>
    </row>
    <row r="359" ht="15.75" customHeight="1">
      <c r="H359" s="194"/>
    </row>
    <row r="360" ht="15.75" customHeight="1">
      <c r="H360" s="194"/>
    </row>
    <row r="361" ht="15.75" customHeight="1">
      <c r="H361" s="194"/>
    </row>
    <row r="362" ht="15.75" customHeight="1">
      <c r="H362" s="194"/>
    </row>
    <row r="363" ht="15.75" customHeight="1">
      <c r="H363" s="194"/>
    </row>
    <row r="364" ht="15.75" customHeight="1">
      <c r="H364" s="194"/>
    </row>
    <row r="365" ht="15.75" customHeight="1">
      <c r="H365" s="194"/>
    </row>
    <row r="366" ht="15.75" customHeight="1">
      <c r="H366" s="194"/>
    </row>
    <row r="367" ht="15.75" customHeight="1">
      <c r="H367" s="194"/>
    </row>
    <row r="368" ht="15.75" customHeight="1">
      <c r="H368" s="194"/>
    </row>
    <row r="369" ht="15.75" customHeight="1">
      <c r="H369" s="194"/>
    </row>
    <row r="370" ht="15.75" customHeight="1">
      <c r="H370" s="194"/>
    </row>
    <row r="371" ht="15.75" customHeight="1">
      <c r="H371" s="194"/>
    </row>
    <row r="372" ht="15.75" customHeight="1">
      <c r="H372" s="194"/>
    </row>
    <row r="373" ht="15.75" customHeight="1">
      <c r="H373" s="194"/>
    </row>
    <row r="374" ht="15.75" customHeight="1">
      <c r="H374" s="194"/>
    </row>
    <row r="375" ht="15.75" customHeight="1">
      <c r="H375" s="194"/>
    </row>
    <row r="376" ht="15.75" customHeight="1">
      <c r="H376" s="194"/>
    </row>
    <row r="377" ht="15.75" customHeight="1">
      <c r="H377" s="194"/>
    </row>
    <row r="378" ht="15.75" customHeight="1">
      <c r="H378" s="194"/>
    </row>
    <row r="379" ht="15.75" customHeight="1">
      <c r="H379" s="194"/>
    </row>
    <row r="380" ht="15.75" customHeight="1">
      <c r="H380" s="194"/>
    </row>
    <row r="381" ht="15.75" customHeight="1">
      <c r="H381" s="194"/>
    </row>
    <row r="382" ht="15.75" customHeight="1">
      <c r="H382" s="194"/>
    </row>
    <row r="383" ht="15.75" customHeight="1">
      <c r="H383" s="194"/>
    </row>
    <row r="384" ht="15.75" customHeight="1">
      <c r="H384" s="194"/>
    </row>
    <row r="385" ht="15.75" customHeight="1">
      <c r="H385" s="194"/>
    </row>
    <row r="386" ht="15.75" customHeight="1">
      <c r="H386" s="194"/>
    </row>
    <row r="387" ht="15.75" customHeight="1">
      <c r="H387" s="194"/>
    </row>
    <row r="388" ht="15.75" customHeight="1">
      <c r="H388" s="194"/>
    </row>
    <row r="389" ht="15.75" customHeight="1">
      <c r="H389" s="194"/>
    </row>
    <row r="390" ht="15.75" customHeight="1">
      <c r="H390" s="194"/>
    </row>
    <row r="391" ht="15.75" customHeight="1">
      <c r="H391" s="194"/>
    </row>
    <row r="392" ht="15.75" customHeight="1">
      <c r="H392" s="194"/>
    </row>
    <row r="393" ht="15.75" customHeight="1">
      <c r="H393" s="194"/>
    </row>
    <row r="394" ht="15.75" customHeight="1">
      <c r="H394" s="194"/>
    </row>
    <row r="395" ht="15.75" customHeight="1">
      <c r="H395" s="194"/>
    </row>
    <row r="396" ht="15.75" customHeight="1">
      <c r="H396" s="194"/>
    </row>
    <row r="397" ht="15.75" customHeight="1">
      <c r="H397" s="194"/>
    </row>
    <row r="398" ht="15.75" customHeight="1">
      <c r="H398" s="194"/>
    </row>
    <row r="399" ht="15.75" customHeight="1">
      <c r="H399" s="194"/>
    </row>
    <row r="400" ht="15.75" customHeight="1">
      <c r="H400" s="194"/>
    </row>
    <row r="401" ht="15.75" customHeight="1">
      <c r="H401" s="194"/>
    </row>
    <row r="402" ht="15.75" customHeight="1">
      <c r="H402" s="194"/>
    </row>
    <row r="403" ht="15.75" customHeight="1">
      <c r="H403" s="194"/>
    </row>
    <row r="404" ht="15.75" customHeight="1">
      <c r="H404" s="194"/>
    </row>
    <row r="405" ht="15.75" customHeight="1">
      <c r="H405" s="194"/>
    </row>
    <row r="406" ht="15.75" customHeight="1">
      <c r="H406" s="194"/>
    </row>
    <row r="407" ht="15.75" customHeight="1">
      <c r="H407" s="194"/>
    </row>
    <row r="408" ht="15.75" customHeight="1">
      <c r="H408" s="194"/>
    </row>
    <row r="409" ht="15.75" customHeight="1">
      <c r="H409" s="194"/>
    </row>
    <row r="410" ht="15.75" customHeight="1">
      <c r="H410" s="194"/>
    </row>
    <row r="411" ht="15.75" customHeight="1">
      <c r="H411" s="194"/>
    </row>
    <row r="412" ht="15.75" customHeight="1">
      <c r="H412" s="194"/>
    </row>
    <row r="413" ht="15.75" customHeight="1">
      <c r="H413" s="194"/>
    </row>
    <row r="414" ht="15.75" customHeight="1">
      <c r="H414" s="194"/>
    </row>
    <row r="415" ht="15.75" customHeight="1">
      <c r="H415" s="194"/>
    </row>
    <row r="416" ht="15.75" customHeight="1">
      <c r="H416" s="194"/>
    </row>
    <row r="417" ht="15.75" customHeight="1">
      <c r="H417" s="194"/>
    </row>
    <row r="418" ht="15.75" customHeight="1">
      <c r="H418" s="194"/>
    </row>
    <row r="419" ht="15.75" customHeight="1">
      <c r="H419" s="194"/>
    </row>
    <row r="420" ht="15.75" customHeight="1">
      <c r="H420" s="194"/>
    </row>
    <row r="421" ht="15.75" customHeight="1">
      <c r="H421" s="194"/>
    </row>
    <row r="422" ht="15.75" customHeight="1">
      <c r="H422" s="194"/>
    </row>
    <row r="423" ht="15.75" customHeight="1">
      <c r="H423" s="194"/>
    </row>
    <row r="424" ht="15.75" customHeight="1">
      <c r="H424" s="194"/>
    </row>
    <row r="425" ht="15.75" customHeight="1">
      <c r="H425" s="194"/>
    </row>
    <row r="426" ht="15.75" customHeight="1">
      <c r="H426" s="194"/>
    </row>
    <row r="427" ht="15.75" customHeight="1">
      <c r="H427" s="194"/>
    </row>
    <row r="428" ht="15.75" customHeight="1">
      <c r="H428" s="194"/>
    </row>
    <row r="429" ht="15.75" customHeight="1">
      <c r="H429" s="194"/>
    </row>
    <row r="430" ht="15.75" customHeight="1">
      <c r="H430" s="194"/>
    </row>
    <row r="431" ht="15.75" customHeight="1">
      <c r="H431" s="194"/>
    </row>
    <row r="432" ht="15.75" customHeight="1">
      <c r="H432" s="194"/>
    </row>
    <row r="433" ht="15.75" customHeight="1">
      <c r="H433" s="194"/>
    </row>
    <row r="434" ht="15.75" customHeight="1">
      <c r="H434" s="194"/>
    </row>
    <row r="435" ht="15.75" customHeight="1">
      <c r="H435" s="194"/>
    </row>
    <row r="436" ht="15.75" customHeight="1">
      <c r="H436" s="194"/>
    </row>
    <row r="437" ht="15.75" customHeight="1">
      <c r="H437" s="194"/>
    </row>
    <row r="438" ht="15.75" customHeight="1">
      <c r="H438" s="194"/>
    </row>
    <row r="439" ht="15.75" customHeight="1">
      <c r="H439" s="194"/>
    </row>
    <row r="440" ht="15.75" customHeight="1">
      <c r="H440" s="194"/>
    </row>
    <row r="441" ht="15.75" customHeight="1">
      <c r="H441" s="194"/>
    </row>
    <row r="442" ht="15.75" customHeight="1">
      <c r="H442" s="194"/>
    </row>
    <row r="443" ht="15.75" customHeight="1">
      <c r="H443" s="194"/>
    </row>
    <row r="444" ht="15.75" customHeight="1">
      <c r="H444" s="194"/>
    </row>
    <row r="445" ht="15.75" customHeight="1">
      <c r="H445" s="194"/>
    </row>
    <row r="446" ht="15.75" customHeight="1">
      <c r="H446" s="194"/>
    </row>
    <row r="447" ht="15.75" customHeight="1">
      <c r="H447" s="194"/>
    </row>
    <row r="448" ht="15.75" customHeight="1">
      <c r="H448" s="194"/>
    </row>
    <row r="449" ht="15.75" customHeight="1">
      <c r="H449" s="194"/>
    </row>
    <row r="450" ht="15.75" customHeight="1">
      <c r="H450" s="194"/>
    </row>
    <row r="451" ht="15.75" customHeight="1">
      <c r="H451" s="194"/>
    </row>
    <row r="452" ht="15.75" customHeight="1">
      <c r="H452" s="194"/>
    </row>
    <row r="453" ht="15.75" customHeight="1">
      <c r="H453" s="194"/>
    </row>
    <row r="454" ht="15.75" customHeight="1">
      <c r="H454" s="194"/>
    </row>
    <row r="455" ht="15.75" customHeight="1">
      <c r="H455" s="194"/>
    </row>
    <row r="456" ht="15.75" customHeight="1">
      <c r="H456" s="194"/>
    </row>
    <row r="457" ht="15.75" customHeight="1">
      <c r="H457" s="194"/>
    </row>
    <row r="458" ht="15.75" customHeight="1">
      <c r="H458" s="194"/>
    </row>
    <row r="459" ht="15.75" customHeight="1">
      <c r="H459" s="194"/>
    </row>
    <row r="460" ht="15.75" customHeight="1">
      <c r="H460" s="194"/>
    </row>
    <row r="461" ht="15.75" customHeight="1">
      <c r="H461" s="194"/>
    </row>
    <row r="462" ht="15.75" customHeight="1">
      <c r="H462" s="194"/>
    </row>
    <row r="463" ht="15.75" customHeight="1">
      <c r="H463" s="194"/>
    </row>
    <row r="464" ht="15.75" customHeight="1">
      <c r="H464" s="194"/>
    </row>
    <row r="465" ht="15.75" customHeight="1">
      <c r="H465" s="194"/>
    </row>
    <row r="466" ht="15.75" customHeight="1">
      <c r="H466" s="194"/>
    </row>
    <row r="467" ht="15.75" customHeight="1">
      <c r="H467" s="194"/>
    </row>
    <row r="468" ht="15.75" customHeight="1">
      <c r="H468" s="194"/>
    </row>
    <row r="469" ht="15.75" customHeight="1">
      <c r="H469" s="194"/>
    </row>
    <row r="470" ht="15.75" customHeight="1">
      <c r="H470" s="194"/>
    </row>
    <row r="471" ht="15.75" customHeight="1">
      <c r="H471" s="194"/>
    </row>
    <row r="472" ht="15.75" customHeight="1">
      <c r="H472" s="194"/>
    </row>
    <row r="473" ht="15.75" customHeight="1">
      <c r="H473" s="194"/>
    </row>
    <row r="474" ht="15.75" customHeight="1">
      <c r="H474" s="194"/>
    </row>
    <row r="475" ht="15.75" customHeight="1">
      <c r="H475" s="194"/>
    </row>
    <row r="476" ht="15.75" customHeight="1">
      <c r="H476" s="194"/>
    </row>
    <row r="477" ht="15.75" customHeight="1">
      <c r="H477" s="194"/>
    </row>
    <row r="478" ht="15.75" customHeight="1">
      <c r="H478" s="194"/>
    </row>
    <row r="479" ht="15.75" customHeight="1">
      <c r="H479" s="194"/>
    </row>
    <row r="480" ht="15.75" customHeight="1">
      <c r="H480" s="194"/>
    </row>
    <row r="481" ht="15.75" customHeight="1">
      <c r="H481" s="194"/>
    </row>
    <row r="482" ht="15.75" customHeight="1">
      <c r="H482" s="194"/>
    </row>
    <row r="483" ht="15.75" customHeight="1">
      <c r="H483" s="194"/>
    </row>
    <row r="484" ht="15.75" customHeight="1">
      <c r="H484" s="194"/>
    </row>
    <row r="485" ht="15.75" customHeight="1">
      <c r="H485" s="194"/>
    </row>
    <row r="486" ht="15.75" customHeight="1">
      <c r="H486" s="194"/>
    </row>
    <row r="487" ht="15.75" customHeight="1">
      <c r="H487" s="194"/>
    </row>
    <row r="488" ht="15.75" customHeight="1">
      <c r="H488" s="194"/>
    </row>
    <row r="489" ht="15.75" customHeight="1">
      <c r="H489" s="194"/>
    </row>
    <row r="490" ht="15.75" customHeight="1">
      <c r="H490" s="194"/>
    </row>
    <row r="491" ht="15.75" customHeight="1">
      <c r="H491" s="194"/>
    </row>
    <row r="492" ht="15.75" customHeight="1">
      <c r="H492" s="194"/>
    </row>
    <row r="493" ht="15.75" customHeight="1">
      <c r="H493" s="194"/>
    </row>
    <row r="494" ht="15.75" customHeight="1">
      <c r="H494" s="194"/>
    </row>
    <row r="495" ht="15.75" customHeight="1">
      <c r="H495" s="194"/>
    </row>
    <row r="496" ht="15.75" customHeight="1">
      <c r="H496" s="194"/>
    </row>
    <row r="497" ht="15.75" customHeight="1">
      <c r="H497" s="194"/>
    </row>
    <row r="498" ht="15.75" customHeight="1">
      <c r="H498" s="194"/>
    </row>
    <row r="499" ht="15.75" customHeight="1">
      <c r="H499" s="194"/>
    </row>
    <row r="500" ht="15.75" customHeight="1">
      <c r="H500" s="194"/>
    </row>
    <row r="501" ht="15.75" customHeight="1">
      <c r="H501" s="194"/>
    </row>
    <row r="502" ht="15.75" customHeight="1">
      <c r="H502" s="194"/>
    </row>
    <row r="503" ht="15.75" customHeight="1">
      <c r="H503" s="194"/>
    </row>
    <row r="504" ht="15.75" customHeight="1">
      <c r="H504" s="194"/>
    </row>
    <row r="505" ht="15.75" customHeight="1">
      <c r="H505" s="194"/>
    </row>
    <row r="506" ht="15.75" customHeight="1">
      <c r="H506" s="194"/>
    </row>
    <row r="507" ht="15.75" customHeight="1">
      <c r="H507" s="194"/>
    </row>
    <row r="508" ht="15.75" customHeight="1">
      <c r="H508" s="194"/>
    </row>
    <row r="509" ht="15.75" customHeight="1">
      <c r="H509" s="194"/>
    </row>
    <row r="510" ht="15.75" customHeight="1">
      <c r="H510" s="194"/>
    </row>
    <row r="511" ht="15.75" customHeight="1">
      <c r="H511" s="194"/>
    </row>
    <row r="512" ht="15.75" customHeight="1">
      <c r="H512" s="194"/>
    </row>
    <row r="513" ht="15.75" customHeight="1">
      <c r="H513" s="194"/>
    </row>
    <row r="514" ht="15.75" customHeight="1">
      <c r="H514" s="194"/>
    </row>
    <row r="515" ht="15.75" customHeight="1">
      <c r="H515" s="194"/>
    </row>
    <row r="516" ht="15.75" customHeight="1">
      <c r="H516" s="194"/>
    </row>
    <row r="517" ht="15.75" customHeight="1">
      <c r="H517" s="194"/>
    </row>
    <row r="518" ht="15.75" customHeight="1">
      <c r="H518" s="194"/>
    </row>
    <row r="519" ht="15.75" customHeight="1">
      <c r="H519" s="194"/>
    </row>
    <row r="520" ht="15.75" customHeight="1">
      <c r="H520" s="194"/>
    </row>
    <row r="521" ht="15.75" customHeight="1">
      <c r="H521" s="194"/>
    </row>
    <row r="522" ht="15.75" customHeight="1">
      <c r="H522" s="194"/>
    </row>
    <row r="523" ht="15.75" customHeight="1">
      <c r="H523" s="194"/>
    </row>
    <row r="524" ht="15.75" customHeight="1">
      <c r="H524" s="194"/>
    </row>
    <row r="525" ht="15.75" customHeight="1">
      <c r="H525" s="194"/>
    </row>
    <row r="526" ht="15.75" customHeight="1">
      <c r="H526" s="194"/>
    </row>
    <row r="527" ht="15.75" customHeight="1">
      <c r="H527" s="194"/>
    </row>
    <row r="528" ht="15.75" customHeight="1">
      <c r="H528" s="194"/>
    </row>
    <row r="529" ht="15.75" customHeight="1">
      <c r="H529" s="194"/>
    </row>
    <row r="530" ht="15.75" customHeight="1">
      <c r="H530" s="194"/>
    </row>
    <row r="531" ht="15.75" customHeight="1">
      <c r="H531" s="194"/>
    </row>
    <row r="532" ht="15.75" customHeight="1">
      <c r="H532" s="194"/>
    </row>
    <row r="533" ht="15.75" customHeight="1">
      <c r="H533" s="194"/>
    </row>
    <row r="534" ht="15.75" customHeight="1">
      <c r="H534" s="194"/>
    </row>
    <row r="535" ht="15.75" customHeight="1">
      <c r="H535" s="194"/>
    </row>
    <row r="536" ht="15.75" customHeight="1">
      <c r="H536" s="194"/>
    </row>
    <row r="537" ht="15.75" customHeight="1">
      <c r="H537" s="194"/>
    </row>
    <row r="538" ht="15.75" customHeight="1">
      <c r="H538" s="194"/>
    </row>
    <row r="539" ht="15.75" customHeight="1">
      <c r="H539" s="194"/>
    </row>
    <row r="540" ht="15.75" customHeight="1">
      <c r="H540" s="194"/>
    </row>
    <row r="541" ht="15.75" customHeight="1">
      <c r="H541" s="194"/>
    </row>
    <row r="542" ht="15.75" customHeight="1">
      <c r="H542" s="194"/>
    </row>
    <row r="543" ht="15.75" customHeight="1">
      <c r="H543" s="194"/>
    </row>
    <row r="544" ht="15.75" customHeight="1">
      <c r="H544" s="194"/>
    </row>
    <row r="545" ht="15.75" customHeight="1">
      <c r="H545" s="194"/>
    </row>
    <row r="546" ht="15.75" customHeight="1">
      <c r="H546" s="194"/>
    </row>
    <row r="547" ht="15.75" customHeight="1">
      <c r="H547" s="194"/>
    </row>
    <row r="548" ht="15.75" customHeight="1">
      <c r="H548" s="194"/>
    </row>
    <row r="549" ht="15.75" customHeight="1">
      <c r="H549" s="194"/>
    </row>
    <row r="550" ht="15.75" customHeight="1">
      <c r="H550" s="194"/>
    </row>
    <row r="551" ht="15.75" customHeight="1">
      <c r="H551" s="194"/>
    </row>
    <row r="552" ht="15.75" customHeight="1">
      <c r="H552" s="194"/>
    </row>
    <row r="553" ht="15.75" customHeight="1">
      <c r="H553" s="194"/>
    </row>
    <row r="554" ht="15.75" customHeight="1">
      <c r="H554" s="194"/>
    </row>
    <row r="555" ht="15.75" customHeight="1">
      <c r="H555" s="194"/>
    </row>
    <row r="556" ht="15.75" customHeight="1">
      <c r="H556" s="194"/>
    </row>
    <row r="557" ht="15.75" customHeight="1">
      <c r="H557" s="194"/>
    </row>
    <row r="558" ht="15.75" customHeight="1">
      <c r="H558" s="194"/>
    </row>
    <row r="559" ht="15.75" customHeight="1">
      <c r="H559" s="194"/>
    </row>
    <row r="560" ht="15.75" customHeight="1">
      <c r="H560" s="194"/>
    </row>
    <row r="561" ht="15.75" customHeight="1">
      <c r="H561" s="194"/>
    </row>
    <row r="562" ht="15.75" customHeight="1">
      <c r="H562" s="194"/>
    </row>
    <row r="563" ht="15.75" customHeight="1">
      <c r="H563" s="194"/>
    </row>
    <row r="564" ht="15.75" customHeight="1">
      <c r="H564" s="194"/>
    </row>
    <row r="565" ht="15.75" customHeight="1">
      <c r="H565" s="194"/>
    </row>
    <row r="566" ht="15.75" customHeight="1">
      <c r="H566" s="194"/>
    </row>
    <row r="567" ht="15.75" customHeight="1">
      <c r="H567" s="194"/>
    </row>
    <row r="568" ht="15.75" customHeight="1">
      <c r="H568" s="194"/>
    </row>
    <row r="569" ht="15.75" customHeight="1">
      <c r="H569" s="194"/>
    </row>
    <row r="570" ht="15.75" customHeight="1">
      <c r="H570" s="194"/>
    </row>
    <row r="571" ht="15.75" customHeight="1">
      <c r="H571" s="194"/>
    </row>
    <row r="572" ht="15.75" customHeight="1">
      <c r="H572" s="194"/>
    </row>
    <row r="573" ht="15.75" customHeight="1">
      <c r="H573" s="194"/>
    </row>
    <row r="574" ht="15.75" customHeight="1">
      <c r="H574" s="194"/>
    </row>
    <row r="575" ht="15.75" customHeight="1">
      <c r="H575" s="194"/>
    </row>
    <row r="576" ht="15.75" customHeight="1">
      <c r="H576" s="194"/>
    </row>
    <row r="577" ht="15.75" customHeight="1">
      <c r="H577" s="194"/>
    </row>
    <row r="578" ht="15.75" customHeight="1">
      <c r="H578" s="194"/>
    </row>
    <row r="579" ht="15.75" customHeight="1">
      <c r="H579" s="194"/>
    </row>
    <row r="580" ht="15.75" customHeight="1">
      <c r="H580" s="194"/>
    </row>
    <row r="581" ht="15.75" customHeight="1">
      <c r="H581" s="194"/>
    </row>
    <row r="582" ht="15.75" customHeight="1">
      <c r="H582" s="194"/>
    </row>
    <row r="583" ht="15.75" customHeight="1">
      <c r="H583" s="194"/>
    </row>
    <row r="584" ht="15.75" customHeight="1">
      <c r="H584" s="194"/>
    </row>
    <row r="585" ht="15.75" customHeight="1">
      <c r="H585" s="194"/>
    </row>
    <row r="586" ht="15.75" customHeight="1">
      <c r="H586" s="194"/>
    </row>
    <row r="587" ht="15.75" customHeight="1">
      <c r="H587" s="194"/>
    </row>
    <row r="588" ht="15.75" customHeight="1">
      <c r="H588" s="194"/>
    </row>
    <row r="589" ht="15.75" customHeight="1">
      <c r="H589" s="194"/>
    </row>
    <row r="590" ht="15.75" customHeight="1">
      <c r="H590" s="194"/>
    </row>
    <row r="591" ht="15.75" customHeight="1">
      <c r="H591" s="194"/>
    </row>
    <row r="592" ht="15.75" customHeight="1">
      <c r="H592" s="194"/>
    </row>
    <row r="593" ht="15.75" customHeight="1">
      <c r="H593" s="194"/>
    </row>
    <row r="594" ht="15.75" customHeight="1">
      <c r="H594" s="194"/>
    </row>
    <row r="595" ht="15.75" customHeight="1">
      <c r="H595" s="194"/>
    </row>
    <row r="596" ht="15.75" customHeight="1">
      <c r="H596" s="194"/>
    </row>
    <row r="597" ht="15.75" customHeight="1">
      <c r="H597" s="194"/>
    </row>
    <row r="598" ht="15.75" customHeight="1">
      <c r="H598" s="194"/>
    </row>
    <row r="599" ht="15.75" customHeight="1">
      <c r="H599" s="194"/>
    </row>
    <row r="600" ht="15.75" customHeight="1">
      <c r="H600" s="194"/>
    </row>
    <row r="601" ht="15.75" customHeight="1">
      <c r="H601" s="194"/>
    </row>
    <row r="602" ht="15.75" customHeight="1">
      <c r="H602" s="194"/>
    </row>
    <row r="603" ht="15.75" customHeight="1">
      <c r="H603" s="194"/>
    </row>
    <row r="604" ht="15.75" customHeight="1">
      <c r="H604" s="194"/>
    </row>
    <row r="605" ht="15.75" customHeight="1">
      <c r="H605" s="194"/>
    </row>
    <row r="606" ht="15.75" customHeight="1">
      <c r="H606" s="194"/>
    </row>
    <row r="607" ht="15.75" customHeight="1">
      <c r="H607" s="194"/>
    </row>
    <row r="608" ht="15.75" customHeight="1">
      <c r="H608" s="194"/>
    </row>
    <row r="609" ht="15.75" customHeight="1">
      <c r="H609" s="194"/>
    </row>
    <row r="610" ht="15.75" customHeight="1">
      <c r="H610" s="194"/>
    </row>
    <row r="611" ht="15.75" customHeight="1">
      <c r="H611" s="194"/>
    </row>
    <row r="612" ht="15.75" customHeight="1">
      <c r="H612" s="194"/>
    </row>
    <row r="613" ht="15.75" customHeight="1">
      <c r="H613" s="194"/>
    </row>
    <row r="614" ht="15.75" customHeight="1">
      <c r="H614" s="194"/>
    </row>
    <row r="615" ht="15.75" customHeight="1">
      <c r="H615" s="194"/>
    </row>
    <row r="616" ht="15.75" customHeight="1">
      <c r="H616" s="194"/>
    </row>
    <row r="617" ht="15.75" customHeight="1">
      <c r="H617" s="194"/>
    </row>
    <row r="618" ht="15.75" customHeight="1">
      <c r="H618" s="194"/>
    </row>
    <row r="619" ht="15.75" customHeight="1">
      <c r="H619" s="194"/>
    </row>
    <row r="620" ht="15.75" customHeight="1">
      <c r="H620" s="194"/>
    </row>
    <row r="621" ht="15.75" customHeight="1">
      <c r="H621" s="194"/>
    </row>
    <row r="622" ht="15.75" customHeight="1">
      <c r="H622" s="194"/>
    </row>
    <row r="623" ht="15.75" customHeight="1">
      <c r="H623" s="194"/>
    </row>
    <row r="624" ht="15.75" customHeight="1">
      <c r="H624" s="194"/>
    </row>
    <row r="625" ht="15.75" customHeight="1">
      <c r="H625" s="194"/>
    </row>
    <row r="626" ht="15.75" customHeight="1">
      <c r="H626" s="194"/>
    </row>
    <row r="627" ht="15.75" customHeight="1">
      <c r="H627" s="194"/>
    </row>
    <row r="628" ht="15.75" customHeight="1">
      <c r="H628" s="194"/>
    </row>
    <row r="629" ht="15.75" customHeight="1">
      <c r="H629" s="194"/>
    </row>
    <row r="630" ht="15.75" customHeight="1">
      <c r="H630" s="194"/>
    </row>
    <row r="631" ht="15.75" customHeight="1">
      <c r="H631" s="194"/>
    </row>
    <row r="632" ht="15.75" customHeight="1">
      <c r="H632" s="194"/>
    </row>
    <row r="633" ht="15.75" customHeight="1">
      <c r="H633" s="194"/>
    </row>
    <row r="634" ht="15.75" customHeight="1">
      <c r="H634" s="194"/>
    </row>
    <row r="635" ht="15.75" customHeight="1">
      <c r="H635" s="194"/>
    </row>
    <row r="636" ht="15.75" customHeight="1">
      <c r="H636" s="194"/>
    </row>
    <row r="637" ht="15.75" customHeight="1">
      <c r="H637" s="194"/>
    </row>
    <row r="638" ht="15.75" customHeight="1">
      <c r="H638" s="194"/>
    </row>
    <row r="639" ht="15.75" customHeight="1">
      <c r="H639" s="194"/>
    </row>
    <row r="640" ht="15.75" customHeight="1">
      <c r="H640" s="194"/>
    </row>
    <row r="641" ht="15.75" customHeight="1">
      <c r="H641" s="194"/>
    </row>
    <row r="642" ht="15.75" customHeight="1">
      <c r="H642" s="194"/>
    </row>
    <row r="643" ht="15.75" customHeight="1">
      <c r="H643" s="194"/>
    </row>
    <row r="644" ht="15.75" customHeight="1">
      <c r="H644" s="194"/>
    </row>
    <row r="645" ht="15.75" customHeight="1">
      <c r="H645" s="194"/>
    </row>
    <row r="646" ht="15.75" customHeight="1">
      <c r="H646" s="194"/>
    </row>
    <row r="647" ht="15.75" customHeight="1">
      <c r="H647" s="194"/>
    </row>
    <row r="648" ht="15.75" customHeight="1">
      <c r="H648" s="194"/>
    </row>
    <row r="649" ht="15.75" customHeight="1">
      <c r="H649" s="194"/>
    </row>
    <row r="650" ht="15.75" customHeight="1">
      <c r="H650" s="194"/>
    </row>
    <row r="651" ht="15.75" customHeight="1">
      <c r="H651" s="194"/>
    </row>
    <row r="652" ht="15.75" customHeight="1">
      <c r="H652" s="194"/>
    </row>
    <row r="653" ht="15.75" customHeight="1">
      <c r="H653" s="194"/>
    </row>
    <row r="654" ht="15.75" customHeight="1">
      <c r="H654" s="194"/>
    </row>
    <row r="655" ht="15.75" customHeight="1">
      <c r="H655" s="194"/>
    </row>
    <row r="656" ht="15.75" customHeight="1">
      <c r="H656" s="194"/>
    </row>
    <row r="657" ht="15.75" customHeight="1">
      <c r="H657" s="194"/>
    </row>
    <row r="658" ht="15.75" customHeight="1">
      <c r="H658" s="194"/>
    </row>
    <row r="659" ht="15.75" customHeight="1">
      <c r="H659" s="194"/>
    </row>
    <row r="660" ht="15.75" customHeight="1">
      <c r="H660" s="194"/>
    </row>
    <row r="661" ht="15.75" customHeight="1">
      <c r="H661" s="194"/>
    </row>
    <row r="662" ht="15.75" customHeight="1">
      <c r="H662" s="194"/>
    </row>
    <row r="663" ht="15.75" customHeight="1">
      <c r="H663" s="194"/>
    </row>
    <row r="664" ht="15.75" customHeight="1">
      <c r="H664" s="194"/>
    </row>
    <row r="665" ht="15.75" customHeight="1">
      <c r="H665" s="194"/>
    </row>
    <row r="666" ht="15.75" customHeight="1">
      <c r="H666" s="194"/>
    </row>
    <row r="667" ht="15.75" customHeight="1">
      <c r="H667" s="194"/>
    </row>
    <row r="668" ht="15.75" customHeight="1">
      <c r="H668" s="194"/>
    </row>
    <row r="669" ht="15.75" customHeight="1">
      <c r="H669" s="194"/>
    </row>
    <row r="670" ht="15.75" customHeight="1">
      <c r="H670" s="194"/>
    </row>
    <row r="671" ht="15.75" customHeight="1">
      <c r="H671" s="194"/>
    </row>
    <row r="672" ht="15.75" customHeight="1">
      <c r="H672" s="194"/>
    </row>
    <row r="673" ht="15.75" customHeight="1">
      <c r="H673" s="194"/>
    </row>
    <row r="674" ht="15.75" customHeight="1">
      <c r="H674" s="194"/>
    </row>
    <row r="675" ht="15.75" customHeight="1">
      <c r="H675" s="194"/>
    </row>
    <row r="676" ht="15.75" customHeight="1">
      <c r="H676" s="194"/>
    </row>
    <row r="677" ht="15.75" customHeight="1">
      <c r="H677" s="194"/>
    </row>
    <row r="678" ht="15.75" customHeight="1">
      <c r="H678" s="194"/>
    </row>
    <row r="679" ht="15.75" customHeight="1">
      <c r="H679" s="194"/>
    </row>
    <row r="680" ht="15.75" customHeight="1">
      <c r="H680" s="194"/>
    </row>
    <row r="681" ht="15.75" customHeight="1">
      <c r="H681" s="194"/>
    </row>
    <row r="682" ht="15.75" customHeight="1">
      <c r="H682" s="194"/>
    </row>
    <row r="683" ht="15.75" customHeight="1">
      <c r="H683" s="194"/>
    </row>
    <row r="684" ht="15.75" customHeight="1">
      <c r="H684" s="194"/>
    </row>
    <row r="685" ht="15.75" customHeight="1">
      <c r="H685" s="194"/>
    </row>
    <row r="686" ht="15.75" customHeight="1">
      <c r="H686" s="194"/>
    </row>
    <row r="687" ht="15.75" customHeight="1">
      <c r="H687" s="194"/>
    </row>
    <row r="688" ht="15.75" customHeight="1">
      <c r="H688" s="194"/>
    </row>
    <row r="689" ht="15.75" customHeight="1">
      <c r="H689" s="194"/>
    </row>
    <row r="690" ht="15.75" customHeight="1">
      <c r="H690" s="194"/>
    </row>
    <row r="691" ht="15.75" customHeight="1">
      <c r="H691" s="194"/>
    </row>
    <row r="692" ht="15.75" customHeight="1">
      <c r="H692" s="194"/>
    </row>
    <row r="693" ht="15.75" customHeight="1">
      <c r="H693" s="194"/>
    </row>
    <row r="694" ht="15.75" customHeight="1">
      <c r="H694" s="194"/>
    </row>
    <row r="695" ht="15.75" customHeight="1">
      <c r="H695" s="194"/>
    </row>
    <row r="696" ht="15.75" customHeight="1">
      <c r="H696" s="194"/>
    </row>
    <row r="697" ht="15.75" customHeight="1">
      <c r="H697" s="194"/>
    </row>
    <row r="698" ht="15.75" customHeight="1">
      <c r="H698" s="194"/>
    </row>
    <row r="699" ht="15.75" customHeight="1">
      <c r="H699" s="194"/>
    </row>
    <row r="700" ht="15.75" customHeight="1">
      <c r="H700" s="194"/>
    </row>
    <row r="701" ht="15.75" customHeight="1">
      <c r="H701" s="194"/>
    </row>
    <row r="702" ht="15.75" customHeight="1">
      <c r="H702" s="194"/>
    </row>
    <row r="703" ht="15.75" customHeight="1">
      <c r="H703" s="194"/>
    </row>
    <row r="704" ht="15.75" customHeight="1">
      <c r="H704" s="194"/>
    </row>
    <row r="705" ht="15.75" customHeight="1">
      <c r="H705" s="194"/>
    </row>
    <row r="706" ht="15.75" customHeight="1">
      <c r="H706" s="194"/>
    </row>
    <row r="707" ht="15.75" customHeight="1">
      <c r="H707" s="194"/>
    </row>
    <row r="708" ht="15.75" customHeight="1">
      <c r="H708" s="194"/>
    </row>
    <row r="709" ht="15.75" customHeight="1">
      <c r="H709" s="194"/>
    </row>
    <row r="710" ht="15.75" customHeight="1">
      <c r="H710" s="194"/>
    </row>
    <row r="711" ht="15.75" customHeight="1">
      <c r="H711" s="194"/>
    </row>
    <row r="712" ht="15.75" customHeight="1">
      <c r="H712" s="194"/>
    </row>
    <row r="713" ht="15.75" customHeight="1">
      <c r="H713" s="194"/>
    </row>
    <row r="714" ht="15.75" customHeight="1">
      <c r="H714" s="194"/>
    </row>
    <row r="715" ht="15.75" customHeight="1">
      <c r="H715" s="194"/>
    </row>
    <row r="716" ht="15.75" customHeight="1">
      <c r="H716" s="194"/>
    </row>
    <row r="717" ht="15.75" customHeight="1">
      <c r="H717" s="194"/>
    </row>
    <row r="718" ht="15.75" customHeight="1">
      <c r="H718" s="194"/>
    </row>
    <row r="719" ht="15.75" customHeight="1">
      <c r="H719" s="194"/>
    </row>
    <row r="720" ht="15.75" customHeight="1">
      <c r="H720" s="194"/>
    </row>
    <row r="721" ht="15.75" customHeight="1">
      <c r="H721" s="194"/>
    </row>
    <row r="722" ht="15.75" customHeight="1">
      <c r="H722" s="194"/>
    </row>
    <row r="723" ht="15.75" customHeight="1">
      <c r="H723" s="194"/>
    </row>
    <row r="724" ht="15.75" customHeight="1">
      <c r="H724" s="194"/>
    </row>
    <row r="725" ht="15.75" customHeight="1">
      <c r="H725" s="194"/>
    </row>
    <row r="726" ht="15.75" customHeight="1">
      <c r="H726" s="194"/>
    </row>
    <row r="727" ht="15.75" customHeight="1">
      <c r="H727" s="194"/>
    </row>
    <row r="728" ht="15.75" customHeight="1">
      <c r="H728" s="194"/>
    </row>
    <row r="729" ht="15.75" customHeight="1">
      <c r="H729" s="194"/>
    </row>
    <row r="730" ht="15.75" customHeight="1">
      <c r="H730" s="194"/>
    </row>
    <row r="731" ht="15.75" customHeight="1">
      <c r="H731" s="194"/>
    </row>
    <row r="732" ht="15.75" customHeight="1">
      <c r="H732" s="194"/>
    </row>
    <row r="733" ht="15.75" customHeight="1">
      <c r="H733" s="194"/>
    </row>
    <row r="734" ht="15.75" customHeight="1">
      <c r="H734" s="194"/>
    </row>
    <row r="735" ht="15.75" customHeight="1">
      <c r="H735" s="194"/>
    </row>
    <row r="736" ht="15.75" customHeight="1">
      <c r="H736" s="194"/>
    </row>
    <row r="737" ht="15.75" customHeight="1">
      <c r="H737" s="194"/>
    </row>
    <row r="738" ht="15.75" customHeight="1">
      <c r="H738" s="194"/>
    </row>
    <row r="739" ht="15.75" customHeight="1">
      <c r="H739" s="194"/>
    </row>
    <row r="740" ht="15.75" customHeight="1">
      <c r="H740" s="194"/>
    </row>
    <row r="741" ht="15.75" customHeight="1">
      <c r="H741" s="194"/>
    </row>
    <row r="742" ht="15.75" customHeight="1">
      <c r="H742" s="194"/>
    </row>
    <row r="743" ht="15.75" customHeight="1">
      <c r="H743" s="194"/>
    </row>
    <row r="744" ht="15.75" customHeight="1">
      <c r="H744" s="194"/>
    </row>
    <row r="745" ht="15.75" customHeight="1">
      <c r="H745" s="194"/>
    </row>
    <row r="746" ht="15.75" customHeight="1">
      <c r="H746" s="194"/>
    </row>
    <row r="747" ht="15.75" customHeight="1">
      <c r="H747" s="194"/>
    </row>
    <row r="748" ht="15.75" customHeight="1">
      <c r="H748" s="194"/>
    </row>
    <row r="749" ht="15.75" customHeight="1">
      <c r="H749" s="194"/>
    </row>
    <row r="750" ht="15.75" customHeight="1">
      <c r="H750" s="194"/>
    </row>
    <row r="751" ht="15.75" customHeight="1">
      <c r="H751" s="194"/>
    </row>
    <row r="752" ht="15.75" customHeight="1">
      <c r="H752" s="194"/>
    </row>
    <row r="753" ht="15.75" customHeight="1">
      <c r="H753" s="194"/>
    </row>
    <row r="754" ht="15.75" customHeight="1">
      <c r="H754" s="194"/>
    </row>
    <row r="755" ht="15.75" customHeight="1">
      <c r="H755" s="194"/>
    </row>
    <row r="756" ht="15.75" customHeight="1">
      <c r="H756" s="194"/>
    </row>
    <row r="757" ht="15.75" customHeight="1">
      <c r="H757" s="194"/>
    </row>
    <row r="758" ht="15.75" customHeight="1">
      <c r="H758" s="194"/>
    </row>
    <row r="759" ht="15.75" customHeight="1">
      <c r="H759" s="194"/>
    </row>
    <row r="760" ht="15.75" customHeight="1">
      <c r="H760" s="194"/>
    </row>
    <row r="761" ht="15.75" customHeight="1">
      <c r="H761" s="194"/>
    </row>
    <row r="762" ht="15.75" customHeight="1">
      <c r="H762" s="194"/>
    </row>
    <row r="763" ht="15.75" customHeight="1">
      <c r="H763" s="194"/>
    </row>
    <row r="764" ht="15.75" customHeight="1">
      <c r="H764" s="194"/>
    </row>
    <row r="765" ht="15.75" customHeight="1">
      <c r="H765" s="194"/>
    </row>
    <row r="766" ht="15.75" customHeight="1">
      <c r="H766" s="194"/>
    </row>
    <row r="767" ht="15.75" customHeight="1">
      <c r="H767" s="194"/>
    </row>
    <row r="768" ht="15.75" customHeight="1">
      <c r="H768" s="194"/>
    </row>
    <row r="769" ht="15.75" customHeight="1">
      <c r="H769" s="194"/>
    </row>
    <row r="770" ht="15.75" customHeight="1">
      <c r="H770" s="194"/>
    </row>
    <row r="771" ht="15.75" customHeight="1">
      <c r="H771" s="194"/>
    </row>
    <row r="772" ht="15.75" customHeight="1">
      <c r="H772" s="194"/>
    </row>
    <row r="773" ht="15.75" customHeight="1">
      <c r="H773" s="194"/>
    </row>
    <row r="774" ht="15.75" customHeight="1">
      <c r="H774" s="194"/>
    </row>
    <row r="775" ht="15.75" customHeight="1">
      <c r="H775" s="194"/>
    </row>
    <row r="776" ht="15.75" customHeight="1">
      <c r="H776" s="194"/>
    </row>
    <row r="777" ht="15.75" customHeight="1">
      <c r="H777" s="194"/>
    </row>
    <row r="778" ht="15.75" customHeight="1">
      <c r="H778" s="194"/>
    </row>
    <row r="779" ht="15.75" customHeight="1">
      <c r="H779" s="194"/>
    </row>
    <row r="780" ht="15.75" customHeight="1">
      <c r="H780" s="194"/>
    </row>
    <row r="781" ht="15.75" customHeight="1">
      <c r="H781" s="194"/>
    </row>
    <row r="782" ht="15.75" customHeight="1">
      <c r="H782" s="194"/>
    </row>
    <row r="783" ht="15.75" customHeight="1">
      <c r="H783" s="194"/>
    </row>
    <row r="784" ht="15.75" customHeight="1">
      <c r="H784" s="194"/>
    </row>
    <row r="785" ht="15.75" customHeight="1">
      <c r="H785" s="194"/>
    </row>
    <row r="786" ht="15.75" customHeight="1">
      <c r="H786" s="194"/>
    </row>
    <row r="787" ht="15.75" customHeight="1">
      <c r="H787" s="194"/>
    </row>
    <row r="788" ht="15.75" customHeight="1">
      <c r="H788" s="194"/>
    </row>
    <row r="789" ht="15.75" customHeight="1">
      <c r="H789" s="194"/>
    </row>
    <row r="790" ht="15.75" customHeight="1">
      <c r="H790" s="194"/>
    </row>
    <row r="791" ht="15.75" customHeight="1">
      <c r="H791" s="194"/>
    </row>
    <row r="792" ht="15.75" customHeight="1">
      <c r="H792" s="194"/>
    </row>
    <row r="793" ht="15.75" customHeight="1">
      <c r="H793" s="194"/>
    </row>
    <row r="794" ht="15.75" customHeight="1">
      <c r="H794" s="194"/>
    </row>
    <row r="795" ht="15.75" customHeight="1">
      <c r="H795" s="194"/>
    </row>
    <row r="796" ht="15.75" customHeight="1">
      <c r="H796" s="194"/>
    </row>
    <row r="797" ht="15.75" customHeight="1">
      <c r="H797" s="194"/>
    </row>
    <row r="798" ht="15.75" customHeight="1">
      <c r="H798" s="194"/>
    </row>
    <row r="799" ht="15.75" customHeight="1">
      <c r="H799" s="194"/>
    </row>
    <row r="800" ht="15.75" customHeight="1">
      <c r="H800" s="194"/>
    </row>
    <row r="801" ht="15.75" customHeight="1">
      <c r="H801" s="194"/>
    </row>
    <row r="802" ht="15.75" customHeight="1">
      <c r="H802" s="194"/>
    </row>
    <row r="803" ht="15.75" customHeight="1">
      <c r="H803" s="194"/>
    </row>
    <row r="804" ht="15.75" customHeight="1">
      <c r="H804" s="194"/>
    </row>
    <row r="805" ht="15.75" customHeight="1">
      <c r="H805" s="194"/>
    </row>
    <row r="806" ht="15.75" customHeight="1">
      <c r="H806" s="194"/>
    </row>
    <row r="807" ht="15.75" customHeight="1">
      <c r="H807" s="194"/>
    </row>
    <row r="808" ht="15.75" customHeight="1">
      <c r="H808" s="194"/>
    </row>
    <row r="809" ht="15.75" customHeight="1">
      <c r="H809" s="194"/>
    </row>
    <row r="810" ht="15.75" customHeight="1">
      <c r="H810" s="194"/>
    </row>
    <row r="811" ht="15.75" customHeight="1">
      <c r="H811" s="194"/>
    </row>
    <row r="812" ht="15.75" customHeight="1">
      <c r="H812" s="194"/>
    </row>
    <row r="813" ht="15.75" customHeight="1">
      <c r="H813" s="194"/>
    </row>
    <row r="814" ht="15.75" customHeight="1">
      <c r="H814" s="194"/>
    </row>
    <row r="815" ht="15.75" customHeight="1">
      <c r="H815" s="194"/>
    </row>
    <row r="816" ht="15.75" customHeight="1">
      <c r="H816" s="194"/>
    </row>
    <row r="817" ht="15.75" customHeight="1">
      <c r="H817" s="194"/>
    </row>
    <row r="818" ht="15.75" customHeight="1">
      <c r="H818" s="194"/>
    </row>
    <row r="819" ht="15.75" customHeight="1">
      <c r="H819" s="194"/>
    </row>
    <row r="820" ht="15.75" customHeight="1">
      <c r="H820" s="194"/>
    </row>
    <row r="821" ht="15.75" customHeight="1">
      <c r="H821" s="194"/>
    </row>
    <row r="822" ht="15.75" customHeight="1">
      <c r="H822" s="194"/>
    </row>
    <row r="823" ht="15.75" customHeight="1">
      <c r="H823" s="194"/>
    </row>
    <row r="824" ht="15.75" customHeight="1">
      <c r="H824" s="194"/>
    </row>
    <row r="825" ht="15.75" customHeight="1">
      <c r="H825" s="194"/>
    </row>
    <row r="826" ht="15.75" customHeight="1">
      <c r="H826" s="194"/>
    </row>
    <row r="827" ht="15.75" customHeight="1">
      <c r="H827" s="194"/>
    </row>
    <row r="828" ht="15.75" customHeight="1">
      <c r="H828" s="194"/>
    </row>
    <row r="829" ht="15.75" customHeight="1">
      <c r="H829" s="194"/>
    </row>
    <row r="830" ht="15.75" customHeight="1">
      <c r="H830" s="194"/>
    </row>
    <row r="831" ht="15.75" customHeight="1">
      <c r="H831" s="194"/>
    </row>
    <row r="832" ht="15.75" customHeight="1">
      <c r="H832" s="194"/>
    </row>
    <row r="833" ht="15.75" customHeight="1">
      <c r="H833" s="194"/>
    </row>
    <row r="834" ht="15.75" customHeight="1">
      <c r="H834" s="194"/>
    </row>
    <row r="835" ht="15.75" customHeight="1">
      <c r="H835" s="194"/>
    </row>
    <row r="836" ht="15.75" customHeight="1">
      <c r="H836" s="194"/>
    </row>
    <row r="837" ht="15.75" customHeight="1">
      <c r="H837" s="194"/>
    </row>
    <row r="838" ht="15.75" customHeight="1">
      <c r="H838" s="194"/>
    </row>
    <row r="839" ht="15.75" customHeight="1">
      <c r="H839" s="194"/>
    </row>
    <row r="840" ht="15.75" customHeight="1">
      <c r="H840" s="194"/>
    </row>
    <row r="841" ht="15.75" customHeight="1">
      <c r="H841" s="194"/>
    </row>
    <row r="842" ht="15.75" customHeight="1">
      <c r="H842" s="194"/>
    </row>
    <row r="843" ht="15.75" customHeight="1">
      <c r="H843" s="194"/>
    </row>
    <row r="844" ht="15.75" customHeight="1">
      <c r="H844" s="194"/>
    </row>
    <row r="845" ht="15.75" customHeight="1">
      <c r="H845" s="194"/>
    </row>
    <row r="846" ht="15.75" customHeight="1">
      <c r="H846" s="194"/>
    </row>
    <row r="847" ht="15.75" customHeight="1">
      <c r="H847" s="194"/>
    </row>
    <row r="848" ht="15.75" customHeight="1">
      <c r="H848" s="194"/>
    </row>
    <row r="849" ht="15.75" customHeight="1">
      <c r="H849" s="194"/>
    </row>
    <row r="850" ht="15.75" customHeight="1">
      <c r="H850" s="194"/>
    </row>
    <row r="851" ht="15.75" customHeight="1">
      <c r="H851" s="194"/>
    </row>
    <row r="852" ht="15.75" customHeight="1">
      <c r="H852" s="194"/>
    </row>
    <row r="853" ht="15.75" customHeight="1">
      <c r="H853" s="194"/>
    </row>
    <row r="854" ht="15.75" customHeight="1">
      <c r="H854" s="194"/>
    </row>
    <row r="855" ht="15.75" customHeight="1">
      <c r="H855" s="194"/>
    </row>
    <row r="856" ht="15.75" customHeight="1">
      <c r="H856" s="194"/>
    </row>
    <row r="857" ht="15.75" customHeight="1">
      <c r="H857" s="194"/>
    </row>
    <row r="858" ht="15.75" customHeight="1">
      <c r="H858" s="194"/>
    </row>
    <row r="859" ht="15.75" customHeight="1">
      <c r="H859" s="194"/>
    </row>
    <row r="860" ht="15.75" customHeight="1">
      <c r="H860" s="194"/>
    </row>
    <row r="861" ht="15.75" customHeight="1">
      <c r="H861" s="194"/>
    </row>
    <row r="862" ht="15.75" customHeight="1">
      <c r="H862" s="194"/>
    </row>
    <row r="863" ht="15.75" customHeight="1">
      <c r="H863" s="194"/>
    </row>
    <row r="864" ht="15.75" customHeight="1">
      <c r="H864" s="194"/>
    </row>
    <row r="865" ht="15.75" customHeight="1">
      <c r="H865" s="194"/>
    </row>
    <row r="866" ht="15.75" customHeight="1">
      <c r="H866" s="194"/>
    </row>
    <row r="867" ht="15.75" customHeight="1">
      <c r="H867" s="194"/>
    </row>
    <row r="868" ht="15.75" customHeight="1">
      <c r="H868" s="194"/>
    </row>
    <row r="869" ht="15.75" customHeight="1">
      <c r="H869" s="194"/>
    </row>
    <row r="870" ht="15.75" customHeight="1">
      <c r="H870" s="194"/>
    </row>
    <row r="871" ht="15.75" customHeight="1">
      <c r="H871" s="194"/>
    </row>
    <row r="872" ht="15.75" customHeight="1">
      <c r="H872" s="194"/>
    </row>
    <row r="873" ht="15.75" customHeight="1">
      <c r="H873" s="194"/>
    </row>
    <row r="874" ht="15.75" customHeight="1">
      <c r="H874" s="194"/>
    </row>
    <row r="875" ht="15.75" customHeight="1">
      <c r="H875" s="194"/>
    </row>
    <row r="876" ht="15.75" customHeight="1">
      <c r="H876" s="194"/>
    </row>
    <row r="877" ht="15.75" customHeight="1">
      <c r="H877" s="194"/>
    </row>
    <row r="878" ht="15.75" customHeight="1">
      <c r="H878" s="194"/>
    </row>
    <row r="879" ht="15.75" customHeight="1">
      <c r="H879" s="194"/>
    </row>
    <row r="880" ht="15.75" customHeight="1">
      <c r="H880" s="194"/>
    </row>
    <row r="881" ht="15.75" customHeight="1">
      <c r="H881" s="194"/>
    </row>
    <row r="882" ht="15.75" customHeight="1">
      <c r="H882" s="194"/>
    </row>
    <row r="883" ht="15.75" customHeight="1">
      <c r="H883" s="194"/>
    </row>
    <row r="884" ht="15.75" customHeight="1">
      <c r="H884" s="194"/>
    </row>
    <row r="885" ht="15.75" customHeight="1">
      <c r="H885" s="194"/>
    </row>
    <row r="886" ht="15.75" customHeight="1">
      <c r="H886" s="194"/>
    </row>
    <row r="887" ht="15.75" customHeight="1">
      <c r="H887" s="194"/>
    </row>
    <row r="888" ht="15.75" customHeight="1">
      <c r="H888" s="194"/>
    </row>
    <row r="889" ht="15.75" customHeight="1">
      <c r="H889" s="194"/>
    </row>
    <row r="890" ht="15.75" customHeight="1">
      <c r="H890" s="194"/>
    </row>
    <row r="891" ht="15.75" customHeight="1">
      <c r="H891" s="194"/>
    </row>
    <row r="892" ht="15.75" customHeight="1">
      <c r="H892" s="194"/>
    </row>
    <row r="893" ht="15.75" customHeight="1">
      <c r="H893" s="194"/>
    </row>
    <row r="894" ht="15.75" customHeight="1">
      <c r="H894" s="194"/>
    </row>
    <row r="895" ht="15.75" customHeight="1">
      <c r="H895" s="194"/>
    </row>
    <row r="896" ht="15.75" customHeight="1">
      <c r="H896" s="194"/>
    </row>
    <row r="897" ht="15.75" customHeight="1">
      <c r="H897" s="194"/>
    </row>
    <row r="898" ht="15.75" customHeight="1">
      <c r="H898" s="194"/>
    </row>
    <row r="899" ht="15.75" customHeight="1">
      <c r="H899" s="194"/>
    </row>
    <row r="900" ht="15.75" customHeight="1">
      <c r="H900" s="194"/>
    </row>
    <row r="901" ht="15.75" customHeight="1">
      <c r="H901" s="194"/>
    </row>
    <row r="902" ht="15.75" customHeight="1">
      <c r="H902" s="194"/>
    </row>
    <row r="903" ht="15.75" customHeight="1">
      <c r="H903" s="194"/>
    </row>
    <row r="904" ht="15.75" customHeight="1">
      <c r="H904" s="194"/>
    </row>
    <row r="905" ht="15.75" customHeight="1">
      <c r="H905" s="194"/>
    </row>
    <row r="906" ht="15.75" customHeight="1">
      <c r="H906" s="194"/>
    </row>
    <row r="907" ht="15.75" customHeight="1">
      <c r="H907" s="194"/>
    </row>
    <row r="908" ht="15.75" customHeight="1">
      <c r="H908" s="194"/>
    </row>
    <row r="909" ht="15.75" customHeight="1">
      <c r="H909" s="194"/>
    </row>
    <row r="910" ht="15.75" customHeight="1">
      <c r="H910" s="194"/>
    </row>
    <row r="911" ht="15.75" customHeight="1">
      <c r="H911" s="194"/>
    </row>
    <row r="912" ht="15.75" customHeight="1">
      <c r="H912" s="194"/>
    </row>
    <row r="913" ht="15.75" customHeight="1">
      <c r="H913" s="194"/>
    </row>
    <row r="914" ht="15.75" customHeight="1">
      <c r="H914" s="194"/>
    </row>
    <row r="915" ht="15.75" customHeight="1">
      <c r="H915" s="194"/>
    </row>
    <row r="916" ht="15.75" customHeight="1">
      <c r="H916" s="194"/>
    </row>
    <row r="917" ht="15.75" customHeight="1">
      <c r="H917" s="194"/>
    </row>
    <row r="918" ht="15.75" customHeight="1">
      <c r="H918" s="194"/>
    </row>
    <row r="919" ht="15.75" customHeight="1">
      <c r="H919" s="194"/>
    </row>
    <row r="920" ht="15.75" customHeight="1">
      <c r="H920" s="194"/>
    </row>
    <row r="921" ht="15.75" customHeight="1">
      <c r="H921" s="194"/>
    </row>
    <row r="922" ht="15.75" customHeight="1">
      <c r="H922" s="194"/>
    </row>
    <row r="923" ht="15.75" customHeight="1">
      <c r="H923" s="194"/>
    </row>
    <row r="924" ht="15.75" customHeight="1">
      <c r="H924" s="194"/>
    </row>
    <row r="925" ht="15.75" customHeight="1">
      <c r="H925" s="194"/>
    </row>
    <row r="926" ht="15.75" customHeight="1">
      <c r="H926" s="194"/>
    </row>
    <row r="927" ht="15.75" customHeight="1">
      <c r="H927" s="194"/>
    </row>
    <row r="928" ht="15.75" customHeight="1">
      <c r="H928" s="194"/>
    </row>
    <row r="929" ht="15.75" customHeight="1">
      <c r="H929" s="194"/>
    </row>
    <row r="930" ht="15.75" customHeight="1">
      <c r="H930" s="194"/>
    </row>
    <row r="931" ht="15.75" customHeight="1">
      <c r="H931" s="194"/>
    </row>
    <row r="932" ht="15.75" customHeight="1">
      <c r="H932" s="194"/>
    </row>
    <row r="933" ht="15.75" customHeight="1">
      <c r="H933" s="194"/>
    </row>
    <row r="934" ht="15.75" customHeight="1">
      <c r="H934" s="194"/>
    </row>
    <row r="935" ht="15.75" customHeight="1">
      <c r="H935" s="194"/>
    </row>
    <row r="936" ht="15.75" customHeight="1">
      <c r="H936" s="194"/>
    </row>
    <row r="937" ht="15.75" customHeight="1">
      <c r="H937" s="194"/>
    </row>
    <row r="938" ht="15.75" customHeight="1">
      <c r="H938" s="194"/>
    </row>
    <row r="939" ht="15.75" customHeight="1">
      <c r="H939" s="194"/>
    </row>
    <row r="940" ht="15.75" customHeight="1">
      <c r="H940" s="194"/>
    </row>
    <row r="941" ht="15.75" customHeight="1">
      <c r="H941" s="194"/>
    </row>
    <row r="942" ht="15.75" customHeight="1">
      <c r="H942" s="194"/>
    </row>
    <row r="943" ht="15.75" customHeight="1">
      <c r="H943" s="194"/>
    </row>
    <row r="944" ht="15.75" customHeight="1">
      <c r="H944" s="194"/>
    </row>
    <row r="945" ht="15.75" customHeight="1">
      <c r="H945" s="194"/>
    </row>
    <row r="946" ht="15.75" customHeight="1">
      <c r="H946" s="194"/>
    </row>
    <row r="947" ht="15.75" customHeight="1">
      <c r="H947" s="194"/>
    </row>
    <row r="948" ht="15.75" customHeight="1">
      <c r="H948" s="194"/>
    </row>
    <row r="949" ht="15.75" customHeight="1">
      <c r="H949" s="194"/>
    </row>
    <row r="950" ht="15.75" customHeight="1">
      <c r="H950" s="194"/>
    </row>
    <row r="951" ht="15.75" customHeight="1">
      <c r="H951" s="194"/>
    </row>
    <row r="952" ht="15.75" customHeight="1">
      <c r="H952" s="194"/>
    </row>
    <row r="953" ht="15.75" customHeight="1">
      <c r="H953" s="194"/>
    </row>
    <row r="954" ht="15.75" customHeight="1">
      <c r="H954" s="194"/>
    </row>
    <row r="955" ht="15.75" customHeight="1">
      <c r="H955" s="194"/>
    </row>
    <row r="956" ht="15.75" customHeight="1">
      <c r="H956" s="194"/>
    </row>
    <row r="957" ht="15.75" customHeight="1">
      <c r="H957" s="194"/>
    </row>
    <row r="958" ht="15.75" customHeight="1">
      <c r="H958" s="194"/>
    </row>
    <row r="959" ht="15.75" customHeight="1">
      <c r="H959" s="194"/>
    </row>
    <row r="960" ht="15.75" customHeight="1">
      <c r="H960" s="194"/>
    </row>
    <row r="961" ht="15.75" customHeight="1">
      <c r="H961" s="194"/>
    </row>
    <row r="962" ht="15.75" customHeight="1">
      <c r="H962" s="194"/>
    </row>
    <row r="963" ht="15.75" customHeight="1">
      <c r="H963" s="194"/>
    </row>
    <row r="964" ht="15.75" customHeight="1">
      <c r="H964" s="194"/>
    </row>
    <row r="965" ht="15.75" customHeight="1">
      <c r="H965" s="194"/>
    </row>
    <row r="966" ht="15.75" customHeight="1">
      <c r="H966" s="194"/>
    </row>
    <row r="967" ht="15.75" customHeight="1">
      <c r="H967" s="194"/>
    </row>
    <row r="968" ht="15.75" customHeight="1">
      <c r="H968" s="194"/>
    </row>
    <row r="969" ht="15.75" customHeight="1">
      <c r="H969" s="194"/>
    </row>
    <row r="970" ht="15.75" customHeight="1">
      <c r="H970" s="194"/>
    </row>
    <row r="971" ht="15.75" customHeight="1">
      <c r="H971" s="194"/>
    </row>
    <row r="972" ht="15.75" customHeight="1">
      <c r="H972" s="194"/>
    </row>
    <row r="973" ht="15.75" customHeight="1">
      <c r="H973" s="194"/>
    </row>
    <row r="974" ht="15.75" customHeight="1">
      <c r="H974" s="194"/>
    </row>
    <row r="975" ht="15.75" customHeight="1">
      <c r="H975" s="194"/>
    </row>
    <row r="976" ht="15.75" customHeight="1">
      <c r="H976" s="194"/>
    </row>
    <row r="977" ht="15.75" customHeight="1">
      <c r="H977" s="194"/>
    </row>
    <row r="978" ht="15.75" customHeight="1">
      <c r="H978" s="194"/>
    </row>
    <row r="979" ht="15.75" customHeight="1">
      <c r="H979" s="194"/>
    </row>
    <row r="980" ht="15.75" customHeight="1">
      <c r="H980" s="194"/>
    </row>
    <row r="981" ht="15.75" customHeight="1">
      <c r="H981" s="194"/>
    </row>
    <row r="982" ht="15.75" customHeight="1">
      <c r="H982" s="194"/>
    </row>
    <row r="983" ht="15.75" customHeight="1">
      <c r="H983" s="194"/>
    </row>
    <row r="984" ht="15.75" customHeight="1">
      <c r="H984" s="194"/>
    </row>
    <row r="985" ht="15.75" customHeight="1">
      <c r="H985" s="194"/>
    </row>
    <row r="986" ht="15.75" customHeight="1">
      <c r="H986" s="194"/>
    </row>
    <row r="987" ht="15.75" customHeight="1">
      <c r="H987" s="194"/>
    </row>
    <row r="988" ht="15.75" customHeight="1">
      <c r="H988" s="194"/>
    </row>
    <row r="989" ht="15.75" customHeight="1">
      <c r="H989" s="194"/>
    </row>
    <row r="990" ht="15.75" customHeight="1">
      <c r="H990" s="194"/>
    </row>
    <row r="991" ht="15.75" customHeight="1">
      <c r="H991" s="194"/>
    </row>
    <row r="992" ht="15.75" customHeight="1">
      <c r="H992" s="194"/>
    </row>
    <row r="993" ht="15.75" customHeight="1">
      <c r="H993" s="194"/>
    </row>
    <row r="994" ht="15.75" customHeight="1">
      <c r="H994" s="194"/>
    </row>
    <row r="995" ht="15.75" customHeight="1">
      <c r="H995" s="194"/>
    </row>
    <row r="996" ht="15.75" customHeight="1">
      <c r="H996" s="194"/>
    </row>
    <row r="997" ht="15.75" customHeight="1">
      <c r="H997" s="194"/>
    </row>
    <row r="998" ht="15.75" customHeight="1">
      <c r="H998" s="194"/>
    </row>
    <row r="999" ht="15.75" customHeight="1"/>
    <row r="1000" ht="15.75" customHeight="1"/>
  </sheetData>
  <mergeCells count="2">
    <mergeCell ref="B1:E2"/>
    <mergeCell ref="G1:G2"/>
  </mergeCells>
  <hyperlinks>
    <hyperlink display="Implementation Checklist" location="'SEO Implementation Checklist'!A1" ref="A1"/>
    <hyperlink r:id="rId1" location="heading=h.q2xajxqm7k92" ref="B1"/>
    <hyperlink display="Priorities &amp; Status" location="'Priorities &amp; Status'!A1" ref="A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26.13"/>
    <col customWidth="1" min="3" max="3" width="24.25"/>
    <col customWidth="1" min="4" max="4" width="77.13"/>
    <col customWidth="1" min="5" max="5" width="36.38"/>
    <col customWidth="1" min="6" max="6" width="12.63"/>
  </cols>
  <sheetData>
    <row r="1">
      <c r="A1" s="140" t="s">
        <v>370</v>
      </c>
      <c r="B1" s="167" t="s">
        <v>371</v>
      </c>
      <c r="D1" s="150" t="s">
        <v>434</v>
      </c>
      <c r="E1" s="150"/>
    </row>
    <row r="2">
      <c r="A2" s="140" t="s">
        <v>372</v>
      </c>
      <c r="D2" s="150"/>
      <c r="E2" s="150"/>
    </row>
    <row r="3">
      <c r="A3" s="143" t="s">
        <v>435</v>
      </c>
      <c r="B3" s="143" t="s">
        <v>388</v>
      </c>
      <c r="C3" s="143" t="s">
        <v>384</v>
      </c>
      <c r="D3" s="143" t="s">
        <v>377</v>
      </c>
      <c r="E3" s="195" t="s">
        <v>383</v>
      </c>
    </row>
    <row r="4" ht="276.75" customHeight="1">
      <c r="A4" s="165"/>
      <c r="B4" s="156"/>
      <c r="C4" s="156"/>
      <c r="D4" s="170"/>
      <c r="E4" s="157"/>
    </row>
    <row r="5" ht="149.25" customHeight="1">
      <c r="A5" s="196"/>
      <c r="B5" s="156"/>
      <c r="C5" s="157"/>
      <c r="D5" s="46"/>
      <c r="E5" s="197"/>
    </row>
    <row r="6">
      <c r="A6" s="21"/>
      <c r="B6" s="181"/>
      <c r="D6" s="46"/>
      <c r="E6" s="62"/>
    </row>
    <row r="7">
      <c r="A7" s="21"/>
      <c r="B7" s="198"/>
      <c r="D7" s="46"/>
      <c r="E7" s="62"/>
    </row>
    <row r="8">
      <c r="A8" s="199"/>
      <c r="B8" s="198"/>
      <c r="D8" s="46"/>
      <c r="E8" s="62"/>
    </row>
    <row r="9">
      <c r="A9" s="21"/>
      <c r="B9" s="198"/>
      <c r="D9" s="46"/>
      <c r="E9" s="62"/>
    </row>
    <row r="10">
      <c r="A10" s="199"/>
      <c r="B10" s="198"/>
      <c r="D10" s="46"/>
      <c r="E10" s="62"/>
    </row>
    <row r="11">
      <c r="A11" s="199"/>
      <c r="B11" s="198"/>
      <c r="D11" s="46"/>
      <c r="E11" s="62"/>
    </row>
    <row r="12">
      <c r="A12" s="199"/>
      <c r="B12" s="198"/>
    </row>
    <row r="13">
      <c r="A13" s="199"/>
      <c r="B13" s="198"/>
      <c r="D13" s="181"/>
    </row>
    <row r="14">
      <c r="A14" s="199"/>
      <c r="B14" s="198"/>
      <c r="D14" s="46"/>
      <c r="E14" s="62"/>
    </row>
    <row r="15">
      <c r="A15" s="199"/>
      <c r="B15" s="198"/>
      <c r="D15" s="46"/>
      <c r="E15" s="62"/>
    </row>
    <row r="16">
      <c r="A16" s="199"/>
      <c r="B16" s="198"/>
      <c r="D16" s="46"/>
      <c r="E16" s="62"/>
    </row>
    <row r="17">
      <c r="A17" s="199"/>
      <c r="B17" s="198"/>
      <c r="D17" s="46"/>
      <c r="E17" s="62"/>
    </row>
    <row r="18">
      <c r="A18" s="21"/>
      <c r="B18" s="198"/>
      <c r="D18" s="46"/>
      <c r="E18" s="62"/>
    </row>
    <row r="19">
      <c r="A19" s="199"/>
      <c r="B19" s="198"/>
      <c r="D19" s="46"/>
      <c r="E19" s="62"/>
    </row>
    <row r="20">
      <c r="A20" s="199"/>
      <c r="B20" s="198"/>
      <c r="D20" s="46"/>
      <c r="E20" s="62"/>
    </row>
    <row r="21" ht="15.75" customHeight="1">
      <c r="A21" s="199"/>
      <c r="B21" s="198"/>
      <c r="D21" s="46"/>
      <c r="E21" s="62"/>
    </row>
    <row r="22" ht="15.75" customHeight="1">
      <c r="A22" s="199"/>
      <c r="B22" s="198"/>
      <c r="D22" s="46"/>
      <c r="E22" s="62"/>
    </row>
    <row r="23" ht="15.75" customHeight="1">
      <c r="A23" s="199"/>
      <c r="B23" s="198"/>
      <c r="D23" s="46"/>
      <c r="E23" s="62"/>
    </row>
    <row r="24" ht="15.75" customHeight="1">
      <c r="A24" s="199"/>
      <c r="B24" s="198"/>
      <c r="D24" s="46"/>
      <c r="E24" s="62"/>
    </row>
    <row r="25" ht="15.75" customHeight="1">
      <c r="B25" s="181"/>
    </row>
    <row r="26" ht="15.75" customHeight="1">
      <c r="B26" s="181"/>
    </row>
    <row r="27" ht="15.75" customHeight="1">
      <c r="B27" s="181"/>
    </row>
    <row r="28" ht="15.75" customHeight="1">
      <c r="B28" s="181"/>
    </row>
    <row r="29" ht="15.75" customHeight="1">
      <c r="B29" s="181"/>
    </row>
    <row r="30" ht="15.75" customHeight="1">
      <c r="B30" s="181"/>
    </row>
    <row r="31" ht="15.75" customHeight="1">
      <c r="B31" s="181"/>
    </row>
    <row r="32" ht="15.75" customHeight="1">
      <c r="B32" s="181"/>
    </row>
    <row r="33" ht="15.75" customHeight="1">
      <c r="B33" s="181"/>
    </row>
    <row r="34" ht="15.75" customHeight="1">
      <c r="B34" s="181"/>
    </row>
    <row r="35" ht="15.75" customHeight="1">
      <c r="B35" s="181"/>
    </row>
    <row r="36" ht="15.75" customHeight="1">
      <c r="B36" s="181"/>
    </row>
    <row r="37" ht="15.75" customHeight="1">
      <c r="B37" s="181"/>
    </row>
    <row r="38" ht="15.75" customHeight="1">
      <c r="B38" s="181"/>
    </row>
    <row r="39" ht="15.75" customHeight="1">
      <c r="B39" s="181"/>
    </row>
    <row r="40" ht="15.75" customHeight="1">
      <c r="B40" s="181"/>
    </row>
    <row r="41" ht="15.75" customHeight="1">
      <c r="B41" s="181"/>
    </row>
    <row r="42" ht="15.75" customHeight="1">
      <c r="B42" s="181"/>
    </row>
    <row r="43" ht="15.75" customHeight="1">
      <c r="B43" s="181"/>
    </row>
    <row r="44" ht="15.75" customHeight="1">
      <c r="B44" s="181"/>
    </row>
    <row r="45" ht="15.75" customHeight="1">
      <c r="B45" s="181"/>
    </row>
    <row r="46" ht="15.75" customHeight="1">
      <c r="B46" s="181"/>
    </row>
    <row r="47" ht="15.75" customHeight="1">
      <c r="B47" s="181"/>
    </row>
    <row r="48" ht="15.75" customHeight="1">
      <c r="B48" s="181"/>
    </row>
    <row r="49" ht="15.75" customHeight="1">
      <c r="B49" s="181"/>
    </row>
    <row r="50" ht="15.75" customHeight="1">
      <c r="B50" s="181"/>
    </row>
    <row r="51" ht="15.75" customHeight="1">
      <c r="B51" s="181"/>
    </row>
    <row r="52" ht="15.75" customHeight="1">
      <c r="B52" s="181"/>
    </row>
    <row r="53" ht="15.75" customHeight="1">
      <c r="B53" s="181"/>
    </row>
    <row r="54" ht="15.75" customHeight="1">
      <c r="B54" s="181"/>
    </row>
    <row r="55" ht="15.75" customHeight="1">
      <c r="B55" s="181"/>
    </row>
    <row r="56" ht="15.75" customHeight="1">
      <c r="B56" s="181"/>
    </row>
    <row r="57" ht="15.75" customHeight="1">
      <c r="B57" s="181"/>
    </row>
    <row r="58" ht="15.75" customHeight="1">
      <c r="B58" s="181"/>
    </row>
    <row r="59" ht="15.75" customHeight="1">
      <c r="B59" s="181"/>
    </row>
    <row r="60" ht="15.75" customHeight="1">
      <c r="B60" s="181"/>
    </row>
    <row r="61" ht="15.75" customHeight="1">
      <c r="B61" s="181"/>
    </row>
    <row r="62" ht="15.75" customHeight="1">
      <c r="B62" s="181"/>
    </row>
    <row r="63" ht="15.75" customHeight="1">
      <c r="B63" s="181"/>
    </row>
    <row r="64" ht="15.75" customHeight="1">
      <c r="B64" s="181"/>
    </row>
    <row r="65" ht="15.75" customHeight="1">
      <c r="B65" s="181"/>
    </row>
    <row r="66" ht="15.75" customHeight="1">
      <c r="B66" s="181"/>
    </row>
    <row r="67" ht="15.75" customHeight="1">
      <c r="B67" s="181"/>
    </row>
    <row r="68" ht="15.75" customHeight="1">
      <c r="B68" s="181"/>
    </row>
    <row r="69" ht="15.75" customHeight="1">
      <c r="B69" s="181"/>
    </row>
    <row r="70" ht="15.75" customHeight="1">
      <c r="B70" s="181"/>
    </row>
    <row r="71" ht="15.75" customHeight="1">
      <c r="B71" s="181"/>
    </row>
    <row r="72" ht="15.75" customHeight="1">
      <c r="B72" s="181"/>
    </row>
    <row r="73" ht="15.75" customHeight="1">
      <c r="B73" s="181"/>
    </row>
    <row r="74" ht="15.75" customHeight="1">
      <c r="B74" s="181"/>
    </row>
    <row r="75" ht="15.75" customHeight="1">
      <c r="B75" s="181"/>
    </row>
    <row r="76" ht="15.75" customHeight="1">
      <c r="B76" s="181"/>
    </row>
    <row r="77" ht="15.75" customHeight="1">
      <c r="B77" s="181"/>
    </row>
    <row r="78" ht="15.75" customHeight="1">
      <c r="B78" s="181"/>
    </row>
    <row r="79" ht="15.75" customHeight="1">
      <c r="B79" s="181"/>
    </row>
    <row r="80" ht="15.75" customHeight="1">
      <c r="B80" s="181"/>
    </row>
    <row r="81" ht="15.75" customHeight="1">
      <c r="B81" s="181"/>
    </row>
    <row r="82" ht="15.75" customHeight="1">
      <c r="B82" s="181"/>
    </row>
    <row r="83" ht="15.75" customHeight="1">
      <c r="B83" s="181"/>
    </row>
    <row r="84" ht="15.75" customHeight="1">
      <c r="B84" s="181"/>
    </row>
    <row r="85" ht="15.75" customHeight="1">
      <c r="B85" s="181"/>
    </row>
    <row r="86" ht="15.75" customHeight="1">
      <c r="B86" s="181"/>
    </row>
    <row r="87" ht="15.75" customHeight="1">
      <c r="B87" s="181"/>
    </row>
    <row r="88" ht="15.75" customHeight="1">
      <c r="B88" s="181"/>
    </row>
    <row r="89" ht="15.75" customHeight="1">
      <c r="B89" s="181"/>
    </row>
    <row r="90" ht="15.75" customHeight="1">
      <c r="B90" s="181"/>
    </row>
    <row r="91" ht="15.75" customHeight="1">
      <c r="B91" s="181"/>
    </row>
    <row r="92" ht="15.75" customHeight="1">
      <c r="B92" s="181"/>
    </row>
    <row r="93" ht="15.75" customHeight="1">
      <c r="B93" s="181"/>
    </row>
    <row r="94" ht="15.75" customHeight="1">
      <c r="B94" s="181"/>
    </row>
    <row r="95" ht="15.75" customHeight="1">
      <c r="B95" s="181"/>
    </row>
    <row r="96" ht="15.75" customHeight="1">
      <c r="B96" s="181"/>
    </row>
    <row r="97" ht="15.75" customHeight="1">
      <c r="B97" s="181"/>
    </row>
    <row r="98" ht="15.75" customHeight="1">
      <c r="B98" s="181"/>
    </row>
    <row r="99" ht="15.75" customHeight="1">
      <c r="B99" s="181"/>
    </row>
    <row r="100" ht="15.75" customHeight="1">
      <c r="B100" s="181"/>
    </row>
    <row r="101" ht="15.75" customHeight="1">
      <c r="B101" s="181"/>
    </row>
    <row r="102" ht="15.75" customHeight="1">
      <c r="B102" s="181"/>
    </row>
    <row r="103" ht="15.75" customHeight="1">
      <c r="B103" s="181"/>
    </row>
    <row r="104" ht="15.75" customHeight="1">
      <c r="B104" s="181"/>
    </row>
    <row r="105" ht="15.75" customHeight="1">
      <c r="B105" s="181"/>
    </row>
    <row r="106" ht="15.75" customHeight="1">
      <c r="B106" s="181"/>
    </row>
    <row r="107" ht="15.75" customHeight="1">
      <c r="B107" s="181"/>
    </row>
    <row r="108" ht="15.75" customHeight="1">
      <c r="B108" s="181"/>
    </row>
    <row r="109" ht="15.75" customHeight="1">
      <c r="B109" s="181"/>
    </row>
    <row r="110" ht="15.75" customHeight="1">
      <c r="B110" s="181"/>
    </row>
    <row r="111" ht="15.75" customHeight="1">
      <c r="B111" s="181"/>
    </row>
    <row r="112" ht="15.75" customHeight="1">
      <c r="B112" s="181"/>
    </row>
    <row r="113" ht="15.75" customHeight="1">
      <c r="B113" s="181"/>
    </row>
    <row r="114" ht="15.75" customHeight="1">
      <c r="B114" s="181"/>
    </row>
    <row r="115" ht="15.75" customHeight="1">
      <c r="B115" s="181"/>
    </row>
    <row r="116" ht="15.75" customHeight="1">
      <c r="B116" s="181"/>
    </row>
    <row r="117" ht="15.75" customHeight="1">
      <c r="B117" s="181"/>
    </row>
    <row r="118" ht="15.75" customHeight="1">
      <c r="B118" s="181"/>
    </row>
    <row r="119" ht="15.75" customHeight="1">
      <c r="B119" s="181"/>
    </row>
    <row r="120" ht="15.75" customHeight="1">
      <c r="B120" s="181"/>
    </row>
    <row r="121" ht="15.75" customHeight="1">
      <c r="B121" s="181"/>
    </row>
    <row r="122" ht="15.75" customHeight="1">
      <c r="B122" s="181"/>
    </row>
    <row r="123" ht="15.75" customHeight="1">
      <c r="B123" s="181"/>
    </row>
    <row r="124" ht="15.75" customHeight="1">
      <c r="B124" s="181"/>
    </row>
    <row r="125" ht="15.75" customHeight="1">
      <c r="B125" s="181"/>
    </row>
    <row r="126" ht="15.75" customHeight="1">
      <c r="B126" s="181"/>
    </row>
    <row r="127" ht="15.75" customHeight="1">
      <c r="B127" s="181"/>
    </row>
    <row r="128" ht="15.75" customHeight="1">
      <c r="B128" s="181"/>
    </row>
    <row r="129" ht="15.75" customHeight="1">
      <c r="B129" s="181"/>
    </row>
    <row r="130" ht="15.75" customHeight="1">
      <c r="B130" s="181"/>
    </row>
    <row r="131" ht="15.75" customHeight="1">
      <c r="B131" s="181"/>
    </row>
    <row r="132" ht="15.75" customHeight="1">
      <c r="B132" s="181"/>
    </row>
    <row r="133" ht="15.75" customHeight="1">
      <c r="B133" s="181"/>
    </row>
    <row r="134" ht="15.75" customHeight="1">
      <c r="B134" s="181"/>
    </row>
    <row r="135" ht="15.75" customHeight="1">
      <c r="B135" s="181"/>
    </row>
    <row r="136" ht="15.75" customHeight="1">
      <c r="B136" s="181"/>
    </row>
    <row r="137" ht="15.75" customHeight="1">
      <c r="B137" s="181"/>
    </row>
    <row r="138" ht="15.75" customHeight="1">
      <c r="B138" s="181"/>
    </row>
    <row r="139" ht="15.75" customHeight="1">
      <c r="B139" s="181"/>
    </row>
    <row r="140" ht="15.75" customHeight="1">
      <c r="B140" s="181"/>
    </row>
    <row r="141" ht="15.75" customHeight="1">
      <c r="B141" s="181"/>
    </row>
    <row r="142" ht="15.75" customHeight="1">
      <c r="B142" s="181"/>
    </row>
    <row r="143" ht="15.75" customHeight="1">
      <c r="B143" s="181"/>
    </row>
    <row r="144" ht="15.75" customHeight="1">
      <c r="B144" s="181"/>
    </row>
    <row r="145" ht="15.75" customHeight="1">
      <c r="B145" s="181"/>
    </row>
    <row r="146" ht="15.75" customHeight="1">
      <c r="B146" s="181"/>
    </row>
    <row r="147" ht="15.75" customHeight="1">
      <c r="B147" s="181"/>
    </row>
    <row r="148" ht="15.75" customHeight="1">
      <c r="B148" s="181"/>
    </row>
    <row r="149" ht="15.75" customHeight="1">
      <c r="B149" s="181"/>
    </row>
    <row r="150" ht="15.75" customHeight="1">
      <c r="B150" s="181"/>
    </row>
    <row r="151" ht="15.75" customHeight="1">
      <c r="B151" s="181"/>
    </row>
    <row r="152" ht="15.75" customHeight="1">
      <c r="B152" s="181"/>
    </row>
    <row r="153" ht="15.75" customHeight="1">
      <c r="B153" s="181"/>
    </row>
    <row r="154" ht="15.75" customHeight="1">
      <c r="B154" s="181"/>
    </row>
    <row r="155" ht="15.75" customHeight="1">
      <c r="B155" s="181"/>
    </row>
    <row r="156" ht="15.75" customHeight="1">
      <c r="B156" s="181"/>
    </row>
    <row r="157" ht="15.75" customHeight="1">
      <c r="B157" s="181"/>
    </row>
    <row r="158" ht="15.75" customHeight="1">
      <c r="B158" s="181"/>
    </row>
    <row r="159" ht="15.75" customHeight="1">
      <c r="B159" s="181"/>
    </row>
    <row r="160" ht="15.75" customHeight="1">
      <c r="B160" s="181"/>
    </row>
    <row r="161" ht="15.75" customHeight="1">
      <c r="B161" s="181"/>
    </row>
    <row r="162" ht="15.75" customHeight="1">
      <c r="B162" s="181"/>
    </row>
    <row r="163" ht="15.75" customHeight="1">
      <c r="B163" s="181"/>
    </row>
    <row r="164" ht="15.75" customHeight="1">
      <c r="B164" s="181"/>
    </row>
    <row r="165" ht="15.75" customHeight="1">
      <c r="B165" s="181"/>
    </row>
    <row r="166" ht="15.75" customHeight="1">
      <c r="B166" s="181"/>
    </row>
    <row r="167" ht="15.75" customHeight="1">
      <c r="B167" s="181"/>
    </row>
    <row r="168" ht="15.75" customHeight="1">
      <c r="B168" s="181"/>
    </row>
    <row r="169" ht="15.75" customHeight="1">
      <c r="B169" s="181"/>
    </row>
    <row r="170" ht="15.75" customHeight="1">
      <c r="B170" s="181"/>
    </row>
    <row r="171" ht="15.75" customHeight="1">
      <c r="B171" s="181"/>
    </row>
    <row r="172" ht="15.75" customHeight="1">
      <c r="B172" s="181"/>
    </row>
    <row r="173" ht="15.75" customHeight="1">
      <c r="B173" s="181"/>
    </row>
    <row r="174" ht="15.75" customHeight="1">
      <c r="B174" s="181"/>
    </row>
    <row r="175" ht="15.75" customHeight="1">
      <c r="B175" s="181"/>
    </row>
    <row r="176" ht="15.75" customHeight="1">
      <c r="B176" s="181"/>
    </row>
    <row r="177" ht="15.75" customHeight="1">
      <c r="B177" s="181"/>
    </row>
    <row r="178" ht="15.75" customHeight="1">
      <c r="B178" s="181"/>
    </row>
    <row r="179" ht="15.75" customHeight="1">
      <c r="B179" s="181"/>
    </row>
    <row r="180" ht="15.75" customHeight="1">
      <c r="B180" s="181"/>
    </row>
    <row r="181" ht="15.75" customHeight="1">
      <c r="B181" s="181"/>
    </row>
    <row r="182" ht="15.75" customHeight="1">
      <c r="B182" s="181"/>
    </row>
    <row r="183" ht="15.75" customHeight="1">
      <c r="B183" s="181"/>
    </row>
    <row r="184" ht="15.75" customHeight="1">
      <c r="B184" s="181"/>
    </row>
    <row r="185" ht="15.75" customHeight="1">
      <c r="B185" s="181"/>
    </row>
    <row r="186" ht="15.75" customHeight="1">
      <c r="B186" s="181"/>
    </row>
    <row r="187" ht="15.75" customHeight="1">
      <c r="B187" s="181"/>
    </row>
    <row r="188" ht="15.75" customHeight="1">
      <c r="B188" s="181"/>
    </row>
    <row r="189" ht="15.75" customHeight="1">
      <c r="B189" s="181"/>
    </row>
    <row r="190" ht="15.75" customHeight="1">
      <c r="B190" s="181"/>
    </row>
    <row r="191" ht="15.75" customHeight="1">
      <c r="B191" s="181"/>
    </row>
    <row r="192" ht="15.75" customHeight="1">
      <c r="B192" s="181"/>
    </row>
    <row r="193" ht="15.75" customHeight="1">
      <c r="B193" s="181"/>
    </row>
    <row r="194" ht="15.75" customHeight="1">
      <c r="B194" s="181"/>
    </row>
    <row r="195" ht="15.75" customHeight="1">
      <c r="B195" s="181"/>
    </row>
    <row r="196" ht="15.75" customHeight="1">
      <c r="B196" s="181"/>
    </row>
    <row r="197" ht="15.75" customHeight="1">
      <c r="B197" s="181"/>
    </row>
    <row r="198" ht="15.75" customHeight="1">
      <c r="B198" s="181"/>
    </row>
    <row r="199" ht="15.75" customHeight="1">
      <c r="B199" s="181"/>
    </row>
    <row r="200" ht="15.75" customHeight="1">
      <c r="B200" s="181"/>
    </row>
    <row r="201" ht="15.75" customHeight="1">
      <c r="B201" s="181"/>
    </row>
    <row r="202" ht="15.75" customHeight="1">
      <c r="B202" s="181"/>
    </row>
    <row r="203" ht="15.75" customHeight="1">
      <c r="B203" s="181"/>
    </row>
    <row r="204" ht="15.75" customHeight="1">
      <c r="B204" s="181"/>
    </row>
    <row r="205" ht="15.75" customHeight="1">
      <c r="B205" s="181"/>
    </row>
    <row r="206" ht="15.75" customHeight="1">
      <c r="B206" s="181"/>
    </row>
    <row r="207" ht="15.75" customHeight="1">
      <c r="B207" s="181"/>
    </row>
    <row r="208" ht="15.75" customHeight="1">
      <c r="B208" s="181"/>
    </row>
    <row r="209" ht="15.75" customHeight="1">
      <c r="B209" s="181"/>
    </row>
    <row r="210" ht="15.75" customHeight="1">
      <c r="B210" s="181"/>
    </row>
    <row r="211" ht="15.75" customHeight="1">
      <c r="B211" s="181"/>
    </row>
    <row r="212" ht="15.75" customHeight="1">
      <c r="B212" s="181"/>
    </row>
    <row r="213" ht="15.75" customHeight="1">
      <c r="B213" s="181"/>
    </row>
    <row r="214" ht="15.75" customHeight="1">
      <c r="B214" s="181"/>
    </row>
    <row r="215" ht="15.75" customHeight="1">
      <c r="B215" s="181"/>
    </row>
    <row r="216" ht="15.75" customHeight="1">
      <c r="B216" s="181"/>
    </row>
    <row r="217" ht="15.75" customHeight="1">
      <c r="B217" s="181"/>
    </row>
    <row r="218" ht="15.75" customHeight="1">
      <c r="B218" s="181"/>
    </row>
    <row r="219" ht="15.75" customHeight="1">
      <c r="B219" s="181"/>
    </row>
    <row r="220" ht="15.75" customHeight="1">
      <c r="B220" s="1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23.63"/>
    <col customWidth="1" min="4" max="4" width="69.88"/>
    <col customWidth="1" min="5" max="6" width="12.63"/>
  </cols>
  <sheetData>
    <row r="1">
      <c r="A1" s="140" t="s">
        <v>370</v>
      </c>
      <c r="B1" s="167" t="s">
        <v>371</v>
      </c>
      <c r="D1" s="150"/>
    </row>
    <row r="2">
      <c r="A2" s="140" t="s">
        <v>372</v>
      </c>
      <c r="D2" s="150"/>
    </row>
    <row r="3">
      <c r="A3" s="143" t="s">
        <v>378</v>
      </c>
      <c r="B3" s="143" t="s">
        <v>383</v>
      </c>
      <c r="C3" s="143" t="s">
        <v>384</v>
      </c>
      <c r="D3" s="143" t="s">
        <v>377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 customWidth="1" min="5" max="6" width="12.63"/>
  </cols>
  <sheetData>
    <row r="1">
      <c r="A1" s="140" t="s">
        <v>370</v>
      </c>
      <c r="B1" s="167" t="s">
        <v>371</v>
      </c>
      <c r="D1" s="150"/>
    </row>
    <row r="2">
      <c r="A2" s="140" t="s">
        <v>372</v>
      </c>
      <c r="D2" s="150"/>
    </row>
    <row r="3">
      <c r="A3" s="143" t="s">
        <v>378</v>
      </c>
      <c r="B3" s="143" t="s">
        <v>436</v>
      </c>
      <c r="C3" s="143" t="s">
        <v>437</v>
      </c>
      <c r="D3" s="143" t="s">
        <v>377</v>
      </c>
    </row>
    <row r="4">
      <c r="A4" s="121"/>
      <c r="B4" s="121"/>
      <c r="C4" s="181"/>
      <c r="D4" s="121"/>
    </row>
    <row r="5">
      <c r="A5" s="121"/>
      <c r="B5" s="121"/>
      <c r="C5" s="1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 customWidth="1" min="5" max="6" width="12.63"/>
  </cols>
  <sheetData>
    <row r="1">
      <c r="A1" s="140" t="s">
        <v>370</v>
      </c>
      <c r="B1" s="167" t="s">
        <v>371</v>
      </c>
      <c r="D1" s="150"/>
    </row>
    <row r="2">
      <c r="A2" s="140" t="s">
        <v>372</v>
      </c>
      <c r="D2" s="150"/>
    </row>
    <row r="3">
      <c r="A3" s="143" t="s">
        <v>378</v>
      </c>
      <c r="B3" s="143" t="s">
        <v>438</v>
      </c>
      <c r="C3" s="143" t="s">
        <v>439</v>
      </c>
      <c r="D3" s="143" t="s">
        <v>377</v>
      </c>
    </row>
    <row r="4">
      <c r="A4" s="121"/>
      <c r="B4" s="121"/>
      <c r="C4" s="181"/>
      <c r="D4" s="121"/>
    </row>
    <row r="5">
      <c r="A5" s="121"/>
      <c r="B5" s="121"/>
      <c r="C5" s="18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646rwp3a54pu" ref="B1"/>
    <hyperlink display="Priorities &amp; Status" location="'Priorities &amp; Status'!A1" ref="A2"/>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75"/>
    <col customWidth="1" min="2" max="2" width="41.5"/>
    <col customWidth="1" min="3" max="3" width="58.25"/>
    <col customWidth="1" min="4" max="4" width="34.13"/>
    <col customWidth="1" min="5" max="6" width="12.63"/>
  </cols>
  <sheetData>
    <row r="1">
      <c r="A1" s="140" t="s">
        <v>370</v>
      </c>
      <c r="B1" s="167" t="s">
        <v>371</v>
      </c>
      <c r="D1" s="160"/>
    </row>
    <row r="2">
      <c r="A2" s="140" t="s">
        <v>372</v>
      </c>
      <c r="D2" s="160"/>
    </row>
    <row r="3">
      <c r="A3" s="143" t="s">
        <v>378</v>
      </c>
      <c r="B3" s="143" t="s">
        <v>379</v>
      </c>
      <c r="C3" s="143" t="s">
        <v>377</v>
      </c>
      <c r="D3" s="143" t="s">
        <v>388</v>
      </c>
    </row>
    <row r="4">
      <c r="D4" s="20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mpzkzwxz70xa" ref="B1"/>
    <hyperlink display="Priorities &amp; Status" location="'Priorities &amp; Status'!A1" ref="A2"/>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8"/>
    <col customWidth="1" min="2" max="2" width="47.88"/>
    <col customWidth="1" min="3" max="3" width="53.0"/>
    <col customWidth="1" min="4" max="4" width="48.88"/>
    <col customWidth="1" min="5" max="6" width="12.63"/>
  </cols>
  <sheetData>
    <row r="1">
      <c r="A1" s="140" t="s">
        <v>370</v>
      </c>
      <c r="B1" s="167" t="s">
        <v>371</v>
      </c>
      <c r="D1" s="150"/>
    </row>
    <row r="2">
      <c r="A2" s="140" t="s">
        <v>372</v>
      </c>
      <c r="D2" s="150"/>
    </row>
    <row r="3">
      <c r="A3" s="143" t="s">
        <v>378</v>
      </c>
      <c r="B3" s="143" t="s">
        <v>379</v>
      </c>
      <c r="C3" s="143" t="s">
        <v>440</v>
      </c>
      <c r="D3" s="143" t="s">
        <v>377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40" t="s">
        <v>370</v>
      </c>
      <c r="B1" s="167" t="s">
        <v>371</v>
      </c>
    </row>
    <row r="2">
      <c r="A2" s="140" t="s">
        <v>372</v>
      </c>
    </row>
    <row r="3">
      <c r="A3" s="143" t="s">
        <v>378</v>
      </c>
      <c r="B3" s="143" t="s">
        <v>440</v>
      </c>
      <c r="C3" s="143" t="s">
        <v>377</v>
      </c>
    </row>
    <row r="4">
      <c r="A4" s="121"/>
      <c r="B4" s="181"/>
      <c r="C4" s="1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40" t="s">
        <v>370</v>
      </c>
      <c r="B1" s="167" t="s">
        <v>371</v>
      </c>
    </row>
    <row r="2">
      <c r="A2" s="140" t="s">
        <v>372</v>
      </c>
    </row>
    <row r="3">
      <c r="A3" s="143" t="s">
        <v>378</v>
      </c>
      <c r="B3" s="143" t="s">
        <v>440</v>
      </c>
      <c r="C3" s="143" t="s">
        <v>377</v>
      </c>
    </row>
    <row r="4">
      <c r="A4" s="121"/>
      <c r="B4" s="121"/>
    </row>
    <row r="5">
      <c r="A5" s="121"/>
      <c r="B5" s="121"/>
    </row>
    <row r="6">
      <c r="A6" s="121"/>
      <c r="B6" s="121"/>
    </row>
    <row r="7">
      <c r="A7" s="121"/>
      <c r="B7" s="121"/>
    </row>
    <row r="8">
      <c r="A8" s="121"/>
      <c r="B8" s="12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40" t="s">
        <v>370</v>
      </c>
      <c r="B1" s="167" t="s">
        <v>371</v>
      </c>
    </row>
    <row r="2">
      <c r="A2" s="140" t="s">
        <v>372</v>
      </c>
    </row>
    <row r="3">
      <c r="A3" s="143" t="s">
        <v>378</v>
      </c>
      <c r="B3" s="143" t="s">
        <v>440</v>
      </c>
      <c r="C3" s="143" t="s">
        <v>377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40" t="s">
        <v>370</v>
      </c>
      <c r="B1" s="167" t="s">
        <v>371</v>
      </c>
    </row>
    <row r="2">
      <c r="A2" s="140" t="s">
        <v>372</v>
      </c>
    </row>
    <row r="3">
      <c r="A3" s="143" t="s">
        <v>378</v>
      </c>
      <c r="B3" s="143" t="s">
        <v>440</v>
      </c>
      <c r="C3" s="143" t="s">
        <v>377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b05aec2w5ce0" ref="B1"/>
    <hyperlink display="Priorities &amp; Status" location="'Priorities &amp; Status'!A1" ref="A2"/>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0"/>
    <col customWidth="1" min="2" max="2" width="28.63"/>
    <col customWidth="1" min="3" max="4" width="35.88"/>
    <col customWidth="1" min="5" max="6" width="12.63"/>
  </cols>
  <sheetData>
    <row r="1">
      <c r="A1" s="201" t="s">
        <v>370</v>
      </c>
      <c r="B1" s="167" t="s">
        <v>371</v>
      </c>
    </row>
    <row r="2">
      <c r="A2" s="201" t="s">
        <v>372</v>
      </c>
    </row>
    <row r="3">
      <c r="A3" s="195" t="s">
        <v>441</v>
      </c>
      <c r="B3" s="195" t="s">
        <v>442</v>
      </c>
      <c r="C3" s="195" t="s">
        <v>443</v>
      </c>
      <c r="D3" s="195" t="s">
        <v>388</v>
      </c>
    </row>
    <row r="4">
      <c r="A4" s="198"/>
      <c r="B4" s="181"/>
      <c r="C4" s="181"/>
      <c r="D4" s="181"/>
    </row>
    <row r="5">
      <c r="A5" s="198"/>
      <c r="B5" s="181"/>
      <c r="C5" s="181"/>
      <c r="D5" s="181"/>
    </row>
    <row r="6">
      <c r="A6" s="181"/>
      <c r="B6" s="181"/>
      <c r="C6" s="181"/>
      <c r="D6" s="181"/>
    </row>
    <row r="7">
      <c r="A7" s="181"/>
      <c r="B7" s="181"/>
      <c r="C7" s="181"/>
      <c r="D7" s="181"/>
    </row>
    <row r="8">
      <c r="A8" s="181"/>
      <c r="B8" s="181"/>
      <c r="C8" s="181"/>
      <c r="D8" s="181"/>
    </row>
    <row r="9">
      <c r="A9" s="181"/>
      <c r="B9" s="181"/>
      <c r="C9" s="181"/>
      <c r="D9" s="181"/>
    </row>
    <row r="10">
      <c r="A10" s="181"/>
      <c r="B10" s="181"/>
      <c r="C10" s="181"/>
      <c r="D10" s="181"/>
    </row>
    <row r="11">
      <c r="A11" s="181"/>
      <c r="B11" s="181"/>
      <c r="C11" s="181"/>
      <c r="D11" s="181"/>
    </row>
    <row r="12">
      <c r="A12" s="181"/>
      <c r="B12" s="181"/>
      <c r="C12" s="181"/>
      <c r="D12" s="181"/>
    </row>
    <row r="13">
      <c r="A13" s="181"/>
      <c r="B13" s="181"/>
      <c r="C13" s="181"/>
      <c r="D13" s="181"/>
    </row>
    <row r="14">
      <c r="A14" s="181"/>
      <c r="B14" s="181"/>
      <c r="C14" s="181"/>
      <c r="D14" s="181"/>
    </row>
    <row r="15">
      <c r="A15" s="181"/>
      <c r="B15" s="181"/>
      <c r="C15" s="181"/>
      <c r="D15" s="181"/>
    </row>
    <row r="16">
      <c r="A16" s="181"/>
      <c r="B16" s="181"/>
      <c r="C16" s="181"/>
      <c r="D16" s="181"/>
    </row>
    <row r="17">
      <c r="A17" s="181"/>
      <c r="B17" s="181"/>
      <c r="C17" s="181"/>
      <c r="D17" s="181"/>
    </row>
    <row r="18">
      <c r="A18" s="181"/>
      <c r="B18" s="181"/>
      <c r="C18" s="181"/>
      <c r="D18" s="181"/>
    </row>
    <row r="19">
      <c r="A19" s="181"/>
      <c r="B19" s="181"/>
      <c r="C19" s="181"/>
      <c r="D19" s="181"/>
    </row>
    <row r="20">
      <c r="A20" s="181"/>
      <c r="B20" s="181"/>
      <c r="C20" s="181"/>
      <c r="D20" s="181"/>
    </row>
    <row r="21" ht="15.75" customHeight="1">
      <c r="A21" s="181"/>
      <c r="B21" s="181"/>
      <c r="C21" s="181"/>
      <c r="D21" s="181"/>
    </row>
    <row r="22" ht="15.75" customHeight="1">
      <c r="A22" s="181"/>
      <c r="B22" s="181"/>
      <c r="C22" s="181"/>
      <c r="D22" s="181"/>
    </row>
    <row r="23" ht="15.75" customHeight="1">
      <c r="A23" s="181"/>
      <c r="B23" s="181"/>
      <c r="C23" s="181"/>
      <c r="D23" s="181"/>
    </row>
    <row r="24" ht="15.75" customHeight="1">
      <c r="A24" s="181"/>
      <c r="B24" s="181"/>
      <c r="C24" s="181"/>
      <c r="D24" s="181"/>
    </row>
    <row r="25" ht="15.75" customHeight="1">
      <c r="A25" s="181"/>
      <c r="B25" s="181"/>
      <c r="C25" s="181"/>
      <c r="D25" s="181"/>
    </row>
    <row r="26" ht="15.75" customHeight="1">
      <c r="A26" s="181"/>
      <c r="B26" s="181"/>
      <c r="C26" s="181"/>
      <c r="D26" s="181"/>
    </row>
    <row r="27" ht="15.75" customHeight="1">
      <c r="A27" s="181"/>
      <c r="B27" s="181"/>
      <c r="C27" s="181"/>
      <c r="D27" s="181"/>
    </row>
    <row r="28" ht="15.75" customHeight="1">
      <c r="A28" s="181"/>
      <c r="B28" s="181"/>
      <c r="C28" s="181"/>
      <c r="D28" s="181"/>
    </row>
    <row r="29" ht="15.75" customHeight="1">
      <c r="A29" s="181"/>
      <c r="B29" s="181"/>
      <c r="C29" s="181"/>
      <c r="D29" s="181"/>
    </row>
    <row r="30" ht="15.75" customHeight="1">
      <c r="A30" s="181"/>
      <c r="B30" s="181"/>
      <c r="C30" s="181"/>
      <c r="D30" s="181"/>
    </row>
    <row r="31" ht="15.75" customHeight="1">
      <c r="A31" s="181"/>
      <c r="B31" s="181"/>
      <c r="C31" s="181"/>
      <c r="D31" s="181"/>
    </row>
    <row r="32" ht="15.75" customHeight="1">
      <c r="A32" s="181"/>
      <c r="B32" s="181"/>
      <c r="C32" s="181"/>
      <c r="D32" s="181"/>
    </row>
    <row r="33" ht="15.75" customHeight="1">
      <c r="A33" s="181"/>
      <c r="B33" s="181"/>
      <c r="C33" s="181"/>
      <c r="D33" s="181"/>
    </row>
    <row r="34" ht="15.75" customHeight="1">
      <c r="A34" s="181"/>
      <c r="B34" s="181"/>
      <c r="C34" s="181"/>
      <c r="D34" s="181"/>
    </row>
    <row r="35" ht="15.75" customHeight="1">
      <c r="A35" s="181"/>
      <c r="B35" s="181"/>
      <c r="C35" s="181"/>
      <c r="D35" s="181"/>
    </row>
    <row r="36" ht="15.75" customHeight="1">
      <c r="A36" s="181"/>
      <c r="B36" s="181"/>
      <c r="C36" s="181"/>
      <c r="D36" s="181"/>
    </row>
    <row r="37" ht="15.75" customHeight="1">
      <c r="A37" s="181"/>
      <c r="B37" s="181"/>
      <c r="C37" s="181"/>
      <c r="D37" s="181"/>
    </row>
    <row r="38" ht="15.75" customHeight="1">
      <c r="A38" s="181"/>
      <c r="B38" s="181"/>
      <c r="C38" s="181"/>
      <c r="D38" s="181"/>
    </row>
    <row r="39" ht="15.75" customHeight="1">
      <c r="A39" s="181"/>
      <c r="B39" s="181"/>
      <c r="C39" s="181"/>
      <c r="D39" s="181"/>
    </row>
    <row r="40" ht="15.75" customHeight="1">
      <c r="A40" s="181"/>
      <c r="B40" s="181"/>
      <c r="C40" s="181"/>
      <c r="D40" s="181"/>
    </row>
    <row r="41" ht="15.75" customHeight="1">
      <c r="A41" s="181"/>
      <c r="B41" s="181"/>
      <c r="C41" s="181"/>
      <c r="D41" s="181"/>
    </row>
    <row r="42" ht="15.75" customHeight="1">
      <c r="A42" s="181"/>
      <c r="B42" s="181"/>
      <c r="C42" s="181"/>
      <c r="D42" s="181"/>
    </row>
    <row r="43" ht="15.75" customHeight="1">
      <c r="A43" s="181"/>
      <c r="B43" s="181"/>
      <c r="C43" s="181"/>
      <c r="D43" s="181"/>
    </row>
    <row r="44" ht="15.75" customHeight="1">
      <c r="A44" s="181"/>
      <c r="B44" s="181"/>
      <c r="C44" s="181"/>
      <c r="D44" s="181"/>
    </row>
    <row r="45" ht="15.75" customHeight="1">
      <c r="A45" s="181"/>
      <c r="B45" s="181"/>
      <c r="C45" s="181"/>
      <c r="D45" s="181"/>
    </row>
    <row r="46" ht="15.75" customHeight="1">
      <c r="A46" s="181"/>
      <c r="B46" s="181"/>
      <c r="C46" s="181"/>
      <c r="D46" s="181"/>
    </row>
    <row r="47" ht="15.75" customHeight="1">
      <c r="A47" s="181"/>
      <c r="B47" s="181"/>
      <c r="C47" s="181"/>
      <c r="D47" s="181"/>
    </row>
    <row r="48" ht="15.75" customHeight="1">
      <c r="A48" s="181"/>
      <c r="B48" s="181"/>
      <c r="C48" s="181"/>
      <c r="D48" s="181"/>
    </row>
    <row r="49" ht="15.75" customHeight="1">
      <c r="A49" s="181"/>
      <c r="B49" s="181"/>
      <c r="C49" s="181"/>
      <c r="D49" s="181"/>
    </row>
    <row r="50" ht="15.75" customHeight="1">
      <c r="A50" s="181"/>
      <c r="B50" s="181"/>
      <c r="C50" s="181"/>
      <c r="D50" s="181"/>
    </row>
    <row r="51" ht="15.75" customHeight="1">
      <c r="A51" s="181"/>
      <c r="B51" s="181"/>
      <c r="C51" s="181"/>
      <c r="D51" s="181"/>
    </row>
    <row r="52" ht="15.75" customHeight="1">
      <c r="A52" s="181"/>
      <c r="B52" s="181"/>
      <c r="C52" s="181"/>
      <c r="D52" s="181"/>
    </row>
    <row r="53" ht="15.75" customHeight="1">
      <c r="A53" s="181"/>
      <c r="B53" s="181"/>
      <c r="C53" s="181"/>
      <c r="D53" s="181"/>
    </row>
    <row r="54" ht="15.75" customHeight="1">
      <c r="A54" s="181"/>
      <c r="B54" s="181"/>
      <c r="C54" s="181"/>
      <c r="D54" s="181"/>
    </row>
    <row r="55" ht="15.75" customHeight="1">
      <c r="A55" s="181"/>
      <c r="B55" s="181"/>
      <c r="C55" s="181"/>
      <c r="D55" s="181"/>
    </row>
    <row r="56" ht="15.75" customHeight="1">
      <c r="A56" s="181"/>
      <c r="B56" s="181"/>
      <c r="C56" s="181"/>
      <c r="D56" s="181"/>
    </row>
    <row r="57" ht="15.75" customHeight="1">
      <c r="A57" s="181"/>
      <c r="B57" s="181"/>
      <c r="C57" s="181"/>
      <c r="D57" s="181"/>
    </row>
    <row r="58" ht="15.75" customHeight="1">
      <c r="A58" s="181"/>
      <c r="B58" s="181"/>
      <c r="C58" s="181"/>
      <c r="D58" s="181"/>
    </row>
    <row r="59" ht="15.75" customHeight="1">
      <c r="A59" s="181"/>
      <c r="B59" s="181"/>
      <c r="C59" s="181"/>
      <c r="D59" s="181"/>
    </row>
    <row r="60" ht="15.75" customHeight="1">
      <c r="A60" s="181"/>
      <c r="B60" s="181"/>
      <c r="C60" s="181"/>
      <c r="D60" s="181"/>
    </row>
    <row r="61" ht="15.75" customHeight="1">
      <c r="A61" s="181"/>
      <c r="B61" s="181"/>
      <c r="C61" s="181"/>
      <c r="D61" s="181"/>
    </row>
    <row r="62" ht="15.75" customHeight="1">
      <c r="A62" s="181"/>
      <c r="B62" s="181"/>
      <c r="C62" s="181"/>
      <c r="D62" s="181"/>
    </row>
    <row r="63" ht="15.75" customHeight="1">
      <c r="A63" s="181"/>
      <c r="B63" s="181"/>
      <c r="C63" s="181"/>
      <c r="D63" s="181"/>
    </row>
    <row r="64" ht="15.75" customHeight="1">
      <c r="A64" s="181"/>
      <c r="B64" s="181"/>
      <c r="C64" s="181"/>
      <c r="D64" s="181"/>
    </row>
    <row r="65" ht="15.75" customHeight="1">
      <c r="A65" s="181"/>
      <c r="B65" s="181"/>
      <c r="C65" s="181"/>
      <c r="D65" s="181"/>
    </row>
    <row r="66" ht="15.75" customHeight="1">
      <c r="A66" s="181"/>
      <c r="B66" s="181"/>
      <c r="C66" s="181"/>
      <c r="D66" s="181"/>
    </row>
    <row r="67" ht="15.75" customHeight="1">
      <c r="A67" s="181"/>
      <c r="B67" s="181"/>
      <c r="C67" s="181"/>
      <c r="D67" s="181"/>
    </row>
    <row r="68" ht="15.75" customHeight="1">
      <c r="A68" s="181"/>
      <c r="B68" s="181"/>
      <c r="C68" s="181"/>
      <c r="D68" s="181"/>
    </row>
    <row r="69" ht="15.75" customHeight="1">
      <c r="A69" s="181"/>
      <c r="B69" s="181"/>
      <c r="C69" s="181"/>
      <c r="D69" s="181"/>
    </row>
    <row r="70" ht="15.75" customHeight="1">
      <c r="A70" s="181"/>
      <c r="B70" s="181"/>
      <c r="C70" s="181"/>
      <c r="D70" s="181"/>
    </row>
    <row r="71" ht="15.75" customHeight="1">
      <c r="A71" s="181"/>
      <c r="B71" s="181"/>
      <c r="C71" s="181"/>
      <c r="D71" s="181"/>
    </row>
    <row r="72" ht="15.75" customHeight="1">
      <c r="A72" s="181"/>
      <c r="B72" s="181"/>
      <c r="C72" s="181"/>
      <c r="D72" s="181"/>
    </row>
    <row r="73" ht="15.75" customHeight="1">
      <c r="A73" s="181"/>
      <c r="B73" s="181"/>
      <c r="C73" s="181"/>
      <c r="D73" s="181"/>
    </row>
    <row r="74" ht="15.75" customHeight="1">
      <c r="A74" s="181"/>
      <c r="B74" s="181"/>
      <c r="C74" s="181"/>
      <c r="D74" s="181"/>
    </row>
    <row r="75" ht="15.75" customHeight="1">
      <c r="A75" s="181"/>
      <c r="B75" s="181"/>
      <c r="C75" s="181"/>
      <c r="D75" s="181"/>
    </row>
    <row r="76" ht="15.75" customHeight="1">
      <c r="A76" s="181"/>
      <c r="B76" s="181"/>
      <c r="C76" s="181"/>
      <c r="D76" s="181"/>
    </row>
    <row r="77" ht="15.75" customHeight="1">
      <c r="A77" s="181"/>
      <c r="B77" s="181"/>
      <c r="C77" s="181"/>
      <c r="D77" s="181"/>
    </row>
    <row r="78" ht="15.75" customHeight="1">
      <c r="A78" s="181"/>
      <c r="B78" s="181"/>
      <c r="C78" s="181"/>
      <c r="D78" s="181"/>
    </row>
    <row r="79" ht="15.75" customHeight="1">
      <c r="A79" s="181"/>
      <c r="B79" s="181"/>
      <c r="C79" s="181"/>
      <c r="D79" s="181"/>
    </row>
    <row r="80" ht="15.75" customHeight="1">
      <c r="A80" s="181"/>
      <c r="B80" s="181"/>
      <c r="C80" s="181"/>
      <c r="D80" s="181"/>
    </row>
    <row r="81" ht="15.75" customHeight="1">
      <c r="A81" s="181"/>
      <c r="B81" s="181"/>
      <c r="C81" s="181"/>
      <c r="D81" s="181"/>
    </row>
    <row r="82" ht="15.75" customHeight="1">
      <c r="A82" s="181"/>
      <c r="B82" s="181"/>
      <c r="C82" s="181"/>
      <c r="D82" s="181"/>
    </row>
    <row r="83" ht="15.75" customHeight="1">
      <c r="A83" s="181"/>
      <c r="B83" s="181"/>
      <c r="C83" s="181"/>
      <c r="D83" s="181"/>
    </row>
    <row r="84" ht="15.75" customHeight="1">
      <c r="A84" s="181"/>
      <c r="B84" s="181"/>
      <c r="C84" s="181"/>
      <c r="D84" s="181"/>
    </row>
    <row r="85" ht="15.75" customHeight="1">
      <c r="A85" s="181"/>
      <c r="B85" s="181"/>
      <c r="C85" s="181"/>
      <c r="D85" s="181"/>
    </row>
    <row r="86" ht="15.75" customHeight="1">
      <c r="A86" s="181"/>
      <c r="B86" s="181"/>
      <c r="C86" s="181"/>
      <c r="D86" s="181"/>
    </row>
    <row r="87" ht="15.75" customHeight="1">
      <c r="A87" s="181"/>
      <c r="B87" s="181"/>
      <c r="C87" s="181"/>
      <c r="D87" s="181"/>
    </row>
    <row r="88" ht="15.75" customHeight="1">
      <c r="A88" s="181"/>
      <c r="B88" s="181"/>
      <c r="C88" s="181"/>
      <c r="D88" s="181"/>
    </row>
    <row r="89" ht="15.75" customHeight="1">
      <c r="A89" s="181"/>
      <c r="B89" s="181"/>
      <c r="C89" s="181"/>
      <c r="D89" s="181"/>
    </row>
    <row r="90" ht="15.75" customHeight="1">
      <c r="A90" s="181"/>
      <c r="B90" s="181"/>
      <c r="C90" s="181"/>
      <c r="D90" s="181"/>
    </row>
    <row r="91" ht="15.75" customHeight="1">
      <c r="A91" s="181"/>
      <c r="B91" s="181"/>
      <c r="C91" s="181"/>
      <c r="D91" s="181"/>
    </row>
    <row r="92" ht="15.75" customHeight="1">
      <c r="A92" s="181"/>
      <c r="B92" s="181"/>
      <c r="C92" s="181"/>
      <c r="D92" s="181"/>
    </row>
    <row r="93" ht="15.75" customHeight="1">
      <c r="A93" s="181"/>
      <c r="B93" s="181"/>
      <c r="C93" s="181"/>
      <c r="D93" s="181"/>
    </row>
    <row r="94" ht="15.75" customHeight="1">
      <c r="A94" s="181"/>
      <c r="B94" s="181"/>
      <c r="C94" s="181"/>
      <c r="D94" s="181"/>
    </row>
    <row r="95" ht="15.75" customHeight="1">
      <c r="A95" s="181"/>
      <c r="B95" s="181"/>
      <c r="C95" s="181"/>
      <c r="D95" s="181"/>
    </row>
    <row r="96" ht="15.75" customHeight="1">
      <c r="A96" s="181"/>
      <c r="B96" s="181"/>
      <c r="C96" s="181"/>
      <c r="D96" s="181"/>
    </row>
    <row r="97" ht="15.75" customHeight="1">
      <c r="A97" s="181"/>
      <c r="B97" s="181"/>
      <c r="C97" s="181"/>
      <c r="D97" s="181"/>
    </row>
    <row r="98" ht="15.75" customHeight="1">
      <c r="A98" s="181"/>
      <c r="B98" s="181"/>
      <c r="C98" s="181"/>
      <c r="D98" s="181"/>
    </row>
    <row r="99" ht="15.75" customHeight="1">
      <c r="A99" s="181"/>
      <c r="B99" s="181"/>
      <c r="C99" s="181"/>
      <c r="D99" s="181"/>
    </row>
    <row r="100" ht="15.75" customHeight="1">
      <c r="A100" s="181"/>
      <c r="B100" s="181"/>
      <c r="C100" s="181"/>
      <c r="D100" s="181"/>
    </row>
    <row r="101" ht="15.75" customHeight="1">
      <c r="A101" s="181"/>
      <c r="B101" s="181"/>
      <c r="C101" s="181"/>
      <c r="D101" s="181"/>
    </row>
    <row r="102" ht="15.75" customHeight="1">
      <c r="A102" s="181"/>
      <c r="B102" s="181"/>
      <c r="C102" s="181"/>
      <c r="D102" s="181"/>
    </row>
    <row r="103" ht="15.75" customHeight="1">
      <c r="A103" s="181"/>
      <c r="B103" s="181"/>
      <c r="C103" s="181"/>
      <c r="D103" s="181"/>
    </row>
    <row r="104" ht="15.75" customHeight="1">
      <c r="A104" s="181"/>
      <c r="B104" s="181"/>
      <c r="C104" s="181"/>
      <c r="D104" s="181"/>
    </row>
    <row r="105" ht="15.75" customHeight="1">
      <c r="A105" s="181"/>
      <c r="B105" s="181"/>
      <c r="C105" s="181"/>
      <c r="D105" s="181"/>
    </row>
    <row r="106" ht="15.75" customHeight="1">
      <c r="A106" s="181"/>
      <c r="B106" s="181"/>
      <c r="C106" s="181"/>
      <c r="D106" s="181"/>
    </row>
    <row r="107" ht="15.75" customHeight="1">
      <c r="A107" s="181"/>
      <c r="B107" s="181"/>
      <c r="C107" s="181"/>
      <c r="D107" s="181"/>
    </row>
    <row r="108" ht="15.75" customHeight="1">
      <c r="A108" s="181"/>
      <c r="B108" s="181"/>
      <c r="C108" s="181"/>
      <c r="D108" s="181"/>
    </row>
    <row r="109" ht="15.75" customHeight="1">
      <c r="A109" s="181"/>
      <c r="B109" s="181"/>
      <c r="C109" s="181"/>
      <c r="D109" s="181"/>
    </row>
    <row r="110" ht="15.75" customHeight="1">
      <c r="A110" s="181"/>
      <c r="B110" s="181"/>
      <c r="C110" s="181"/>
      <c r="D110" s="181"/>
    </row>
    <row r="111" ht="15.75" customHeight="1">
      <c r="A111" s="181"/>
      <c r="B111" s="181"/>
      <c r="C111" s="181"/>
      <c r="D111" s="181"/>
    </row>
    <row r="112" ht="15.75" customHeight="1">
      <c r="A112" s="181"/>
      <c r="B112" s="181"/>
      <c r="C112" s="181"/>
      <c r="D112" s="181"/>
    </row>
    <row r="113" ht="15.75" customHeight="1">
      <c r="A113" s="181"/>
      <c r="B113" s="181"/>
      <c r="C113" s="181"/>
      <c r="D113" s="181"/>
    </row>
    <row r="114" ht="15.75" customHeight="1">
      <c r="A114" s="181"/>
      <c r="B114" s="181"/>
      <c r="C114" s="181"/>
      <c r="D114" s="181"/>
    </row>
    <row r="115" ht="15.75" customHeight="1">
      <c r="A115" s="181"/>
      <c r="B115" s="181"/>
      <c r="C115" s="181"/>
      <c r="D115" s="181"/>
    </row>
    <row r="116" ht="15.75" customHeight="1">
      <c r="A116" s="181"/>
      <c r="B116" s="181"/>
      <c r="C116" s="181"/>
      <c r="D116" s="181"/>
    </row>
    <row r="117" ht="15.75" customHeight="1">
      <c r="A117" s="181"/>
      <c r="B117" s="181"/>
      <c r="C117" s="181"/>
      <c r="D117" s="181"/>
    </row>
    <row r="118" ht="15.75" customHeight="1">
      <c r="A118" s="181"/>
      <c r="B118" s="181"/>
      <c r="C118" s="181"/>
      <c r="D118" s="181"/>
    </row>
    <row r="119" ht="15.75" customHeight="1">
      <c r="A119" s="181"/>
      <c r="B119" s="181"/>
      <c r="C119" s="181"/>
      <c r="D119" s="181"/>
    </row>
    <row r="120" ht="15.75" customHeight="1">
      <c r="A120" s="181"/>
      <c r="B120" s="181"/>
      <c r="C120" s="181"/>
      <c r="D120" s="181"/>
    </row>
    <row r="121" ht="15.75" customHeight="1">
      <c r="A121" s="181"/>
      <c r="B121" s="181"/>
      <c r="C121" s="181"/>
      <c r="D121" s="181"/>
    </row>
    <row r="122" ht="15.75" customHeight="1">
      <c r="A122" s="181"/>
      <c r="B122" s="181"/>
      <c r="C122" s="181"/>
      <c r="D122" s="181"/>
    </row>
    <row r="123" ht="15.75" customHeight="1">
      <c r="A123" s="181"/>
      <c r="B123" s="181"/>
      <c r="C123" s="181"/>
      <c r="D123" s="181"/>
    </row>
    <row r="124" ht="15.75" customHeight="1">
      <c r="A124" s="181"/>
      <c r="B124" s="181"/>
      <c r="C124" s="181"/>
      <c r="D124" s="181"/>
    </row>
    <row r="125" ht="15.75" customHeight="1">
      <c r="A125" s="181"/>
      <c r="B125" s="181"/>
      <c r="C125" s="181"/>
      <c r="D125" s="181"/>
    </row>
    <row r="126" ht="15.75" customHeight="1">
      <c r="A126" s="181"/>
      <c r="B126" s="181"/>
      <c r="C126" s="181"/>
      <c r="D126" s="181"/>
    </row>
    <row r="127" ht="15.75" customHeight="1">
      <c r="A127" s="181"/>
      <c r="B127" s="181"/>
      <c r="C127" s="181"/>
      <c r="D127" s="181"/>
    </row>
    <row r="128" ht="15.75" customHeight="1">
      <c r="A128" s="181"/>
      <c r="B128" s="181"/>
      <c r="C128" s="181"/>
      <c r="D128" s="181"/>
    </row>
    <row r="129" ht="15.75" customHeight="1">
      <c r="A129" s="181"/>
      <c r="B129" s="181"/>
      <c r="C129" s="181"/>
      <c r="D129" s="181"/>
    </row>
    <row r="130" ht="15.75" customHeight="1">
      <c r="A130" s="181"/>
      <c r="B130" s="181"/>
      <c r="C130" s="181"/>
      <c r="D130" s="181"/>
    </row>
    <row r="131" ht="15.75" customHeight="1">
      <c r="A131" s="181"/>
      <c r="B131" s="181"/>
      <c r="C131" s="181"/>
      <c r="D131" s="181"/>
    </row>
    <row r="132" ht="15.75" customHeight="1">
      <c r="A132" s="181"/>
      <c r="B132" s="181"/>
      <c r="C132" s="181"/>
      <c r="D132" s="181"/>
    </row>
    <row r="133" ht="15.75" customHeight="1">
      <c r="A133" s="181"/>
      <c r="B133" s="181"/>
      <c r="C133" s="181"/>
      <c r="D133" s="181"/>
    </row>
    <row r="134" ht="15.75" customHeight="1">
      <c r="A134" s="181"/>
      <c r="B134" s="181"/>
      <c r="C134" s="181"/>
      <c r="D134" s="181"/>
    </row>
    <row r="135" ht="15.75" customHeight="1">
      <c r="A135" s="181"/>
      <c r="B135" s="181"/>
      <c r="C135" s="181"/>
      <c r="D135" s="181"/>
    </row>
    <row r="136" ht="15.75" customHeight="1">
      <c r="A136" s="181"/>
      <c r="B136" s="181"/>
      <c r="C136" s="181"/>
      <c r="D136" s="181"/>
    </row>
    <row r="137" ht="15.75" customHeight="1">
      <c r="A137" s="181"/>
      <c r="B137" s="181"/>
      <c r="C137" s="181"/>
      <c r="D137" s="181"/>
    </row>
    <row r="138" ht="15.75" customHeight="1">
      <c r="A138" s="181"/>
      <c r="B138" s="181"/>
      <c r="C138" s="181"/>
      <c r="D138" s="181"/>
    </row>
    <row r="139" ht="15.75" customHeight="1">
      <c r="A139" s="181"/>
      <c r="B139" s="181"/>
      <c r="C139" s="181"/>
      <c r="D139" s="181"/>
    </row>
    <row r="140" ht="15.75" customHeight="1">
      <c r="A140" s="181"/>
      <c r="B140" s="181"/>
      <c r="C140" s="181"/>
      <c r="D140" s="181"/>
    </row>
    <row r="141" ht="15.75" customHeight="1">
      <c r="A141" s="181"/>
      <c r="B141" s="181"/>
      <c r="C141" s="181"/>
      <c r="D141" s="181"/>
    </row>
    <row r="142" ht="15.75" customHeight="1">
      <c r="A142" s="181"/>
      <c r="B142" s="181"/>
      <c r="C142" s="181"/>
      <c r="D142" s="181"/>
    </row>
    <row r="143" ht="15.75" customHeight="1">
      <c r="A143" s="181"/>
      <c r="B143" s="181"/>
      <c r="C143" s="181"/>
      <c r="D143" s="181"/>
    </row>
    <row r="144" ht="15.75" customHeight="1">
      <c r="A144" s="181"/>
      <c r="B144" s="181"/>
      <c r="C144" s="181"/>
      <c r="D144" s="181"/>
    </row>
    <row r="145" ht="15.75" customHeight="1">
      <c r="A145" s="181"/>
      <c r="B145" s="181"/>
      <c r="C145" s="181"/>
      <c r="D145" s="181"/>
    </row>
    <row r="146" ht="15.75" customHeight="1">
      <c r="A146" s="181"/>
      <c r="B146" s="181"/>
      <c r="C146" s="181"/>
      <c r="D146" s="181"/>
    </row>
    <row r="147" ht="15.75" customHeight="1">
      <c r="A147" s="181"/>
      <c r="B147" s="181"/>
      <c r="C147" s="181"/>
      <c r="D147" s="181"/>
    </row>
    <row r="148" ht="15.75" customHeight="1">
      <c r="A148" s="181"/>
      <c r="B148" s="181"/>
      <c r="C148" s="181"/>
      <c r="D148" s="181"/>
    </row>
    <row r="149" ht="15.75" customHeight="1">
      <c r="A149" s="181"/>
      <c r="B149" s="181"/>
      <c r="C149" s="181"/>
      <c r="D149" s="181"/>
    </row>
    <row r="150" ht="15.75" customHeight="1">
      <c r="A150" s="181"/>
      <c r="B150" s="181"/>
      <c r="C150" s="181"/>
      <c r="D150" s="181"/>
    </row>
    <row r="151" ht="15.75" customHeight="1">
      <c r="A151" s="181"/>
      <c r="B151" s="181"/>
      <c r="C151" s="181"/>
      <c r="D151" s="181"/>
    </row>
    <row r="152" ht="15.75" customHeight="1">
      <c r="A152" s="181"/>
      <c r="B152" s="181"/>
      <c r="C152" s="181"/>
      <c r="D152" s="181"/>
    </row>
    <row r="153" ht="15.75" customHeight="1">
      <c r="A153" s="181"/>
      <c r="B153" s="181"/>
      <c r="C153" s="181"/>
      <c r="D153" s="181"/>
    </row>
    <row r="154" ht="15.75" customHeight="1">
      <c r="A154" s="181"/>
      <c r="B154" s="181"/>
      <c r="C154" s="181"/>
      <c r="D154" s="181"/>
    </row>
    <row r="155" ht="15.75" customHeight="1">
      <c r="A155" s="181"/>
      <c r="B155" s="181"/>
      <c r="C155" s="181"/>
      <c r="D155" s="181"/>
    </row>
    <row r="156" ht="15.75" customHeight="1">
      <c r="A156" s="181"/>
      <c r="B156" s="181"/>
      <c r="C156" s="181"/>
      <c r="D156" s="181"/>
    </row>
    <row r="157" ht="15.75" customHeight="1">
      <c r="A157" s="181"/>
      <c r="B157" s="181"/>
      <c r="C157" s="181"/>
      <c r="D157" s="181"/>
    </row>
    <row r="158" ht="15.75" customHeight="1">
      <c r="A158" s="181"/>
      <c r="B158" s="181"/>
      <c r="C158" s="181"/>
      <c r="D158" s="181"/>
    </row>
    <row r="159" ht="15.75" customHeight="1">
      <c r="A159" s="181"/>
      <c r="B159" s="181"/>
      <c r="C159" s="181"/>
      <c r="D159" s="181"/>
    </row>
    <row r="160" ht="15.75" customHeight="1">
      <c r="A160" s="181"/>
      <c r="B160" s="181"/>
      <c r="C160" s="181"/>
      <c r="D160" s="181"/>
    </row>
    <row r="161" ht="15.75" customHeight="1">
      <c r="A161" s="181"/>
      <c r="B161" s="181"/>
      <c r="C161" s="181"/>
      <c r="D161" s="181"/>
    </row>
    <row r="162" ht="15.75" customHeight="1">
      <c r="A162" s="181"/>
      <c r="B162" s="181"/>
      <c r="C162" s="181"/>
      <c r="D162" s="181"/>
    </row>
    <row r="163" ht="15.75" customHeight="1">
      <c r="A163" s="181"/>
      <c r="B163" s="181"/>
      <c r="C163" s="181"/>
      <c r="D163" s="181"/>
    </row>
    <row r="164" ht="15.75" customHeight="1">
      <c r="A164" s="181"/>
      <c r="B164" s="181"/>
      <c r="C164" s="181"/>
      <c r="D164" s="181"/>
    </row>
    <row r="165" ht="15.75" customHeight="1">
      <c r="A165" s="181"/>
      <c r="B165" s="181"/>
      <c r="C165" s="181"/>
      <c r="D165" s="181"/>
    </row>
    <row r="166" ht="15.75" customHeight="1">
      <c r="A166" s="181"/>
      <c r="B166" s="181"/>
      <c r="C166" s="181"/>
      <c r="D166" s="181"/>
    </row>
    <row r="167" ht="15.75" customHeight="1">
      <c r="A167" s="181"/>
      <c r="B167" s="181"/>
      <c r="C167" s="181"/>
      <c r="D167" s="181"/>
    </row>
    <row r="168" ht="15.75" customHeight="1">
      <c r="A168" s="181"/>
      <c r="B168" s="181"/>
      <c r="C168" s="181"/>
      <c r="D168" s="181"/>
    </row>
    <row r="169" ht="15.75" customHeight="1">
      <c r="A169" s="181"/>
      <c r="B169" s="181"/>
      <c r="C169" s="181"/>
      <c r="D169" s="181"/>
    </row>
    <row r="170" ht="15.75" customHeight="1">
      <c r="A170" s="181"/>
      <c r="B170" s="181"/>
      <c r="C170" s="181"/>
      <c r="D170" s="181"/>
    </row>
    <row r="171" ht="15.75" customHeight="1">
      <c r="A171" s="181"/>
      <c r="B171" s="181"/>
      <c r="C171" s="181"/>
      <c r="D171" s="181"/>
    </row>
    <row r="172" ht="15.75" customHeight="1">
      <c r="A172" s="181"/>
      <c r="B172" s="181"/>
      <c r="C172" s="181"/>
      <c r="D172" s="181"/>
    </row>
    <row r="173" ht="15.75" customHeight="1">
      <c r="A173" s="181"/>
      <c r="B173" s="181"/>
      <c r="C173" s="181"/>
      <c r="D173" s="181"/>
    </row>
    <row r="174" ht="15.75" customHeight="1">
      <c r="A174" s="181"/>
      <c r="B174" s="181"/>
      <c r="C174" s="181"/>
      <c r="D174" s="181"/>
    </row>
    <row r="175" ht="15.75" customHeight="1">
      <c r="A175" s="181"/>
      <c r="B175" s="181"/>
      <c r="C175" s="181"/>
      <c r="D175" s="181"/>
    </row>
    <row r="176" ht="15.75" customHeight="1">
      <c r="A176" s="181"/>
      <c r="B176" s="181"/>
      <c r="C176" s="181"/>
      <c r="D176" s="181"/>
    </row>
    <row r="177" ht="15.75" customHeight="1">
      <c r="A177" s="181"/>
      <c r="B177" s="181"/>
      <c r="C177" s="181"/>
      <c r="D177" s="181"/>
    </row>
    <row r="178" ht="15.75" customHeight="1">
      <c r="A178" s="181"/>
      <c r="B178" s="181"/>
      <c r="C178" s="181"/>
      <c r="D178" s="181"/>
    </row>
    <row r="179" ht="15.75" customHeight="1">
      <c r="A179" s="181"/>
      <c r="B179" s="181"/>
      <c r="C179" s="181"/>
      <c r="D179" s="181"/>
    </row>
    <row r="180" ht="15.75" customHeight="1">
      <c r="A180" s="181"/>
      <c r="B180" s="181"/>
      <c r="C180" s="181"/>
      <c r="D180" s="181"/>
    </row>
    <row r="181" ht="15.75" customHeight="1">
      <c r="A181" s="181"/>
      <c r="B181" s="181"/>
      <c r="C181" s="181"/>
      <c r="D181" s="181"/>
    </row>
    <row r="182" ht="15.75" customHeight="1">
      <c r="A182" s="181"/>
      <c r="B182" s="181"/>
      <c r="C182" s="181"/>
      <c r="D182" s="181"/>
    </row>
    <row r="183" ht="15.75" customHeight="1">
      <c r="A183" s="181"/>
      <c r="B183" s="181"/>
      <c r="C183" s="181"/>
      <c r="D183" s="181"/>
    </row>
    <row r="184" ht="15.75" customHeight="1">
      <c r="A184" s="181"/>
      <c r="B184" s="181"/>
      <c r="C184" s="181"/>
      <c r="D184" s="181"/>
    </row>
    <row r="185" ht="15.75" customHeight="1">
      <c r="A185" s="181"/>
      <c r="B185" s="181"/>
      <c r="C185" s="181"/>
      <c r="D185" s="181"/>
    </row>
    <row r="186" ht="15.75" customHeight="1">
      <c r="A186" s="181"/>
      <c r="B186" s="181"/>
      <c r="C186" s="181"/>
      <c r="D186" s="181"/>
    </row>
    <row r="187" ht="15.75" customHeight="1">
      <c r="A187" s="181"/>
      <c r="B187" s="181"/>
      <c r="C187" s="181"/>
      <c r="D187" s="181"/>
    </row>
    <row r="188" ht="15.75" customHeight="1">
      <c r="A188" s="181"/>
      <c r="B188" s="181"/>
      <c r="C188" s="181"/>
      <c r="D188" s="181"/>
    </row>
    <row r="189" ht="15.75" customHeight="1">
      <c r="A189" s="181"/>
      <c r="B189" s="181"/>
      <c r="C189" s="181"/>
      <c r="D189" s="181"/>
    </row>
    <row r="190" ht="15.75" customHeight="1">
      <c r="A190" s="181"/>
      <c r="B190" s="181"/>
      <c r="C190" s="181"/>
      <c r="D190" s="181"/>
    </row>
    <row r="191" ht="15.75" customHeight="1">
      <c r="A191" s="181"/>
      <c r="B191" s="181"/>
      <c r="C191" s="181"/>
      <c r="D191" s="181"/>
    </row>
    <row r="192" ht="15.75" customHeight="1">
      <c r="A192" s="181"/>
      <c r="B192" s="181"/>
      <c r="C192" s="181"/>
      <c r="D192" s="181"/>
    </row>
    <row r="193" ht="15.75" customHeight="1">
      <c r="A193" s="181"/>
      <c r="B193" s="181"/>
      <c r="C193" s="181"/>
      <c r="D193" s="181"/>
    </row>
    <row r="194" ht="15.75" customHeight="1">
      <c r="A194" s="181"/>
      <c r="B194" s="181"/>
      <c r="C194" s="181"/>
      <c r="D194" s="181"/>
    </row>
    <row r="195" ht="15.75" customHeight="1">
      <c r="A195" s="181"/>
      <c r="B195" s="181"/>
      <c r="C195" s="181"/>
      <c r="D195" s="181"/>
    </row>
    <row r="196" ht="15.75" customHeight="1">
      <c r="A196" s="181"/>
      <c r="B196" s="181"/>
      <c r="C196" s="181"/>
      <c r="D196" s="181"/>
    </row>
    <row r="197" ht="15.75" customHeight="1">
      <c r="A197" s="181"/>
      <c r="B197" s="181"/>
      <c r="C197" s="181"/>
      <c r="D197" s="181"/>
    </row>
    <row r="198" ht="15.75" customHeight="1">
      <c r="A198" s="181"/>
      <c r="B198" s="181"/>
      <c r="C198" s="181"/>
      <c r="D198" s="181"/>
    </row>
    <row r="199" ht="15.75" customHeight="1">
      <c r="A199" s="181"/>
      <c r="B199" s="181"/>
      <c r="C199" s="181"/>
      <c r="D199" s="181"/>
    </row>
    <row r="200" ht="15.75" customHeight="1">
      <c r="A200" s="181"/>
      <c r="B200" s="181"/>
      <c r="C200" s="181"/>
      <c r="D200" s="181"/>
    </row>
    <row r="201" ht="15.75" customHeight="1">
      <c r="A201" s="181"/>
      <c r="B201" s="181"/>
      <c r="C201" s="181"/>
      <c r="D201" s="181"/>
    </row>
    <row r="202" ht="15.75" customHeight="1">
      <c r="A202" s="181"/>
      <c r="B202" s="181"/>
      <c r="C202" s="181"/>
      <c r="D202" s="181"/>
    </row>
    <row r="203" ht="15.75" customHeight="1">
      <c r="A203" s="181"/>
      <c r="B203" s="181"/>
      <c r="C203" s="181"/>
      <c r="D203" s="181"/>
    </row>
    <row r="204" ht="15.75" customHeight="1">
      <c r="A204" s="181"/>
      <c r="B204" s="181"/>
      <c r="C204" s="181"/>
      <c r="D204" s="181"/>
    </row>
    <row r="205" ht="15.75" customHeight="1">
      <c r="A205" s="181"/>
      <c r="B205" s="181"/>
      <c r="C205" s="181"/>
      <c r="D205" s="181"/>
    </row>
    <row r="206" ht="15.75" customHeight="1">
      <c r="A206" s="181"/>
      <c r="B206" s="181"/>
      <c r="C206" s="181"/>
      <c r="D206" s="181"/>
    </row>
    <row r="207" ht="15.75" customHeight="1">
      <c r="A207" s="181"/>
      <c r="B207" s="181"/>
      <c r="C207" s="181"/>
      <c r="D207" s="181"/>
    </row>
    <row r="208" ht="15.75" customHeight="1">
      <c r="A208" s="181"/>
      <c r="B208" s="181"/>
      <c r="C208" s="181"/>
      <c r="D208" s="181"/>
    </row>
    <row r="209" ht="15.75" customHeight="1">
      <c r="A209" s="181"/>
      <c r="B209" s="181"/>
      <c r="C209" s="181"/>
      <c r="D209" s="181"/>
    </row>
    <row r="210" ht="15.75" customHeight="1">
      <c r="A210" s="181"/>
      <c r="B210" s="181"/>
      <c r="C210" s="181"/>
      <c r="D210" s="181"/>
    </row>
    <row r="211" ht="15.75" customHeight="1">
      <c r="A211" s="181"/>
      <c r="B211" s="181"/>
      <c r="C211" s="181"/>
      <c r="D211" s="181"/>
    </row>
    <row r="212" ht="15.75" customHeight="1">
      <c r="A212" s="181"/>
      <c r="B212" s="181"/>
      <c r="C212" s="181"/>
      <c r="D212" s="181"/>
    </row>
    <row r="213" ht="15.75" customHeight="1">
      <c r="A213" s="181"/>
      <c r="B213" s="181"/>
      <c r="C213" s="181"/>
      <c r="D213" s="181"/>
    </row>
    <row r="214" ht="15.75" customHeight="1">
      <c r="A214" s="181"/>
      <c r="B214" s="181"/>
      <c r="C214" s="181"/>
      <c r="D214" s="181"/>
    </row>
    <row r="215" ht="15.75" customHeight="1">
      <c r="A215" s="181"/>
      <c r="B215" s="181"/>
      <c r="C215" s="181"/>
      <c r="D215" s="181"/>
    </row>
    <row r="216" ht="15.75" customHeight="1">
      <c r="A216" s="181"/>
      <c r="B216" s="181"/>
      <c r="C216" s="181"/>
      <c r="D216" s="181"/>
    </row>
    <row r="217" ht="15.75" customHeight="1">
      <c r="A217" s="181"/>
      <c r="B217" s="181"/>
      <c r="C217" s="181"/>
      <c r="D217" s="181"/>
    </row>
    <row r="218" ht="15.75" customHeight="1">
      <c r="A218" s="181"/>
      <c r="B218" s="181"/>
      <c r="C218" s="181"/>
      <c r="D218" s="181"/>
    </row>
    <row r="219" ht="15.75" customHeight="1">
      <c r="A219" s="181"/>
      <c r="B219" s="181"/>
      <c r="C219" s="181"/>
      <c r="D219" s="181"/>
    </row>
    <row r="220" ht="15.75" customHeight="1">
      <c r="A220" s="181"/>
      <c r="B220" s="181"/>
      <c r="C220" s="181"/>
      <c r="D220" s="1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2" max="2" width="75.25"/>
    <col customWidth="1" min="3" max="3" width="43.63"/>
    <col customWidth="1" min="4" max="6" width="12.63"/>
  </cols>
  <sheetData>
    <row r="1">
      <c r="A1" s="140" t="s">
        <v>370</v>
      </c>
      <c r="B1" s="167" t="s">
        <v>371</v>
      </c>
    </row>
    <row r="2">
      <c r="A2" s="140" t="s">
        <v>372</v>
      </c>
    </row>
    <row r="3">
      <c r="A3" s="143" t="s">
        <v>378</v>
      </c>
      <c r="B3" s="143" t="s">
        <v>440</v>
      </c>
      <c r="C3" s="143" t="s">
        <v>444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13"/>
    <col customWidth="1" min="2" max="2" width="35.25"/>
    <col customWidth="1" min="3" max="3" width="43.75"/>
    <col customWidth="1" min="4" max="4" width="48.5"/>
    <col customWidth="1" min="5" max="6" width="12.63"/>
  </cols>
  <sheetData>
    <row r="1">
      <c r="A1" s="140" t="s">
        <v>370</v>
      </c>
      <c r="B1" s="167" t="s">
        <v>371</v>
      </c>
    </row>
    <row r="2">
      <c r="A2" s="140" t="s">
        <v>372</v>
      </c>
    </row>
    <row r="3">
      <c r="A3" s="143" t="s">
        <v>445</v>
      </c>
      <c r="B3" s="143" t="s">
        <v>446</v>
      </c>
      <c r="C3" s="143" t="s">
        <v>447</v>
      </c>
      <c r="D3" s="143" t="s">
        <v>388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Implementation Checklist" location="'SEO Implementation Checklist'!A1" ref="A1"/>
    <hyperlink r:id="rId1" location="heading=h.xiva688o6jk3" ref="B1"/>
    <hyperlink display="Priorities &amp; Status" location="'Priorities &amp; Status'!A1" ref="A2"/>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 customWidth="1" min="3" max="6" width="12.63"/>
  </cols>
  <sheetData>
    <row r="1">
      <c r="A1" s="140" t="s">
        <v>370</v>
      </c>
      <c r="B1" s="160"/>
    </row>
    <row r="2">
      <c r="A2" s="140" t="s">
        <v>372</v>
      </c>
      <c r="B2" s="202"/>
    </row>
    <row r="3">
      <c r="A3" s="143" t="s">
        <v>378</v>
      </c>
      <c r="B3" s="143" t="s">
        <v>447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Implementation Checklist" location="'SEO Implementation Checklist'!A1" ref="A1"/>
    <hyperlink display="Priorities &amp; Status" location="'Priorities &amp; Status'!A1" ref="A2"/>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 customWidth="1" min="3" max="6" width="12.63"/>
  </cols>
  <sheetData>
    <row r="1" ht="23.25" customHeight="1">
      <c r="A1" s="140" t="s">
        <v>370</v>
      </c>
      <c r="B1" s="167" t="s">
        <v>371</v>
      </c>
      <c r="J1" s="171" t="s">
        <v>448</v>
      </c>
      <c r="L1" s="171" t="s">
        <v>449</v>
      </c>
    </row>
    <row r="2" ht="23.25" customHeight="1">
      <c r="A2" s="140" t="s">
        <v>372</v>
      </c>
      <c r="J2" s="171"/>
      <c r="L2" s="171"/>
    </row>
    <row r="3">
      <c r="A3" s="203" t="s">
        <v>378</v>
      </c>
      <c r="B3" s="203" t="s">
        <v>450</v>
      </c>
      <c r="C3" s="203" t="s">
        <v>451</v>
      </c>
      <c r="D3" s="203" t="s">
        <v>452</v>
      </c>
      <c r="E3" s="203" t="s">
        <v>453</v>
      </c>
      <c r="F3" s="203" t="s">
        <v>454</v>
      </c>
      <c r="G3" s="203" t="s">
        <v>455</v>
      </c>
      <c r="H3" s="203" t="s">
        <v>456</v>
      </c>
      <c r="I3" s="203" t="s">
        <v>457</v>
      </c>
      <c r="J3" s="203" t="s">
        <v>458</v>
      </c>
      <c r="K3" s="203" t="s">
        <v>459</v>
      </c>
      <c r="L3" s="203" t="s">
        <v>460</v>
      </c>
      <c r="M3" s="203" t="s">
        <v>461</v>
      </c>
      <c r="N3" s="181"/>
      <c r="O3" s="181"/>
      <c r="P3" s="181"/>
      <c r="Q3" s="181"/>
      <c r="R3" s="181"/>
      <c r="S3" s="181"/>
      <c r="T3" s="181"/>
      <c r="U3" s="181"/>
      <c r="V3" s="181"/>
    </row>
    <row r="4">
      <c r="B4" s="155"/>
    </row>
    <row r="5">
      <c r="B5" s="155"/>
    </row>
    <row r="6">
      <c r="B6" s="155"/>
    </row>
    <row r="7">
      <c r="B7" s="155"/>
    </row>
    <row r="8">
      <c r="B8" s="155"/>
    </row>
    <row r="9">
      <c r="B9" s="155"/>
    </row>
    <row r="10">
      <c r="B10" s="155"/>
    </row>
    <row r="11">
      <c r="B11" s="155"/>
    </row>
    <row r="12">
      <c r="B12" s="155"/>
    </row>
    <row r="13">
      <c r="B13" s="155"/>
    </row>
    <row r="14">
      <c r="B14" s="155"/>
    </row>
    <row r="15">
      <c r="B15" s="155"/>
    </row>
    <row r="16">
      <c r="B16" s="155"/>
    </row>
    <row r="17">
      <c r="B17" s="155"/>
    </row>
    <row r="18">
      <c r="B18" s="155"/>
    </row>
    <row r="19">
      <c r="B19" s="155"/>
    </row>
    <row r="20">
      <c r="B20" s="155"/>
    </row>
    <row r="21" ht="15.75" customHeight="1">
      <c r="B21" s="155"/>
    </row>
    <row r="22" ht="15.75" customHeight="1">
      <c r="B22" s="155"/>
    </row>
    <row r="23" ht="15.75" customHeight="1">
      <c r="B23" s="155"/>
    </row>
    <row r="24" ht="15.75" customHeight="1">
      <c r="B24" s="155"/>
    </row>
    <row r="25" ht="15.75" customHeight="1">
      <c r="B25" s="155"/>
    </row>
    <row r="26" ht="15.75" customHeight="1">
      <c r="B26" s="155"/>
    </row>
    <row r="27" ht="15.75" customHeight="1">
      <c r="B27" s="155"/>
    </row>
    <row r="28" ht="15.75" customHeight="1">
      <c r="B28" s="155"/>
    </row>
    <row r="29" ht="15.75" customHeight="1">
      <c r="B29" s="155"/>
    </row>
    <row r="30" ht="15.75" customHeight="1">
      <c r="B30" s="155"/>
    </row>
    <row r="31" ht="15.75" customHeight="1">
      <c r="B31" s="155"/>
    </row>
    <row r="32" ht="15.75" customHeight="1">
      <c r="B32" s="155"/>
    </row>
    <row r="33" ht="15.75" customHeight="1">
      <c r="B33" s="155"/>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I2"/>
    <mergeCell ref="J1:K1"/>
    <mergeCell ref="L1:M1"/>
    <mergeCell ref="J2:K2"/>
    <mergeCell ref="L2:M2"/>
  </mergeCells>
  <hyperlinks>
    <hyperlink display="Implementation Checklist" location="'SEO Implementation Checklist'!A1" ref="A1"/>
    <hyperlink r:id="rId1" location="heading=h.ubfptlkw95ps" ref="B1"/>
    <hyperlink display="Priorities &amp; Status" location="'Priorities &amp; Status'!A1" ref="A2"/>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 customWidth="1" min="3" max="3" width="12.75"/>
    <col customWidth="1" min="4" max="5" width="12.63"/>
    <col customWidth="1" min="6" max="6" width="98.38"/>
  </cols>
  <sheetData>
    <row r="1" ht="40.5" customHeight="1">
      <c r="A1" s="140" t="s">
        <v>370</v>
      </c>
      <c r="B1" s="167" t="s">
        <v>371</v>
      </c>
      <c r="D1" s="177" t="s">
        <v>462</v>
      </c>
    </row>
    <row r="2" ht="40.5" customHeight="1">
      <c r="A2" s="140" t="s">
        <v>372</v>
      </c>
    </row>
    <row r="3">
      <c r="A3" s="143" t="s">
        <v>463</v>
      </c>
      <c r="B3" s="143" t="s">
        <v>464</v>
      </c>
      <c r="C3" s="143" t="s">
        <v>465</v>
      </c>
      <c r="D3" s="143" t="s">
        <v>466</v>
      </c>
      <c r="E3" s="143" t="s">
        <v>467</v>
      </c>
      <c r="F3" s="195" t="s">
        <v>468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C2"/>
    <mergeCell ref="D1:F2"/>
  </mergeCells>
  <hyperlinks>
    <hyperlink display="Implementation Checklist" location="'SEO Implementation Checklist'!A1" ref="A1"/>
    <hyperlink r:id="rId1" location="heading=h.ubfptlkw95ps" ref="B1"/>
    <hyperlink display="Priorities &amp; Status" location="'Priorities &amp; Status'!A1" ref="A2"/>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 customWidth="1" min="3" max="3" width="60.0"/>
    <col customWidth="1" min="4" max="6" width="12.63"/>
  </cols>
  <sheetData>
    <row r="1">
      <c r="A1" s="140" t="s">
        <v>370</v>
      </c>
      <c r="B1" s="167" t="s">
        <v>371</v>
      </c>
    </row>
    <row r="2">
      <c r="A2" s="140" t="s">
        <v>372</v>
      </c>
    </row>
    <row r="3">
      <c r="A3" s="143" t="s">
        <v>378</v>
      </c>
      <c r="B3" s="143" t="s">
        <v>447</v>
      </c>
      <c r="C3" s="143" t="s">
        <v>388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okkj3j2gxmrc" ref="B1"/>
    <hyperlink display="Priorities &amp; Status" location="'Priorities &amp; Status'!A1" ref="A2"/>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37.38"/>
    <col customWidth="1" min="3" max="3" width="73.0"/>
    <col customWidth="1" min="4" max="6" width="12.63"/>
  </cols>
  <sheetData>
    <row r="1">
      <c r="A1" s="140" t="s">
        <v>370</v>
      </c>
      <c r="B1" s="167" t="s">
        <v>371</v>
      </c>
    </row>
    <row r="2">
      <c r="A2" s="140" t="s">
        <v>372</v>
      </c>
    </row>
    <row r="3">
      <c r="A3" s="143" t="s">
        <v>378</v>
      </c>
      <c r="B3" s="143" t="s">
        <v>379</v>
      </c>
      <c r="C3" s="143" t="s">
        <v>377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Implementation Checklist" location="'SEO Implementation Checklist'!A1" ref="A1"/>
    <hyperlink r:id="rId1" location="heading=h.n24o5yownldu" ref="B1"/>
    <hyperlink display="Priorities &amp; Status" location="'Priorities &amp; Status'!A1" ref="A2"/>
  </hyperlinks>
  <drawing r:id="rId2"/>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4.5"/>
  </cols>
  <sheetData>
    <row r="1" ht="15.0" customHeight="1">
      <c r="A1" s="204">
        <v>1.1</v>
      </c>
    </row>
    <row r="2" ht="15.0" customHeight="1">
      <c r="A2" s="204">
        <v>1.2</v>
      </c>
    </row>
    <row r="3" ht="15.0" customHeight="1">
      <c r="A3" s="204">
        <v>1.3</v>
      </c>
    </row>
    <row r="4" ht="15.0" customHeight="1">
      <c r="A4" s="204">
        <v>1.4</v>
      </c>
    </row>
    <row r="5" ht="15.0" customHeight="1">
      <c r="A5" s="204">
        <v>1.5</v>
      </c>
    </row>
    <row r="6" ht="15.0" customHeight="1">
      <c r="A6" s="204">
        <v>1.6</v>
      </c>
    </row>
    <row r="7" ht="15.0" customHeight="1">
      <c r="A7" s="204">
        <v>2.1</v>
      </c>
    </row>
    <row r="8" ht="15.0" customHeight="1">
      <c r="A8" s="204">
        <v>2.2</v>
      </c>
    </row>
    <row r="9" ht="15.0" customHeight="1">
      <c r="A9" s="204">
        <v>2.3</v>
      </c>
    </row>
    <row r="10" ht="15.0" customHeight="1">
      <c r="A10" s="204">
        <v>2.4</v>
      </c>
    </row>
    <row r="11" ht="15.0" customHeight="1">
      <c r="A11" s="204">
        <v>2.5</v>
      </c>
    </row>
    <row r="12" ht="15.0" customHeight="1">
      <c r="A12" s="204">
        <v>2.5</v>
      </c>
    </row>
    <row r="13" ht="15.0" customHeight="1">
      <c r="A13" s="204">
        <v>2.6</v>
      </c>
    </row>
    <row r="14" ht="15.0" customHeight="1">
      <c r="A14" s="204">
        <v>3.1</v>
      </c>
    </row>
    <row r="15" ht="15.0" customHeight="1">
      <c r="A15" s="204">
        <v>3.2</v>
      </c>
    </row>
    <row r="16" ht="15.0" customHeight="1">
      <c r="A16" s="204">
        <v>3.3</v>
      </c>
    </row>
    <row r="17" ht="15.0" customHeight="1">
      <c r="A17" s="204">
        <v>3.4</v>
      </c>
    </row>
    <row r="18" ht="15.0" customHeight="1">
      <c r="A18" s="204">
        <v>3.5</v>
      </c>
    </row>
    <row r="19" ht="15.0" customHeight="1">
      <c r="A19" s="204">
        <v>4.1</v>
      </c>
    </row>
    <row r="20">
      <c r="A20" s="204">
        <v>4.2</v>
      </c>
    </row>
    <row r="21" ht="15.75" customHeight="1">
      <c r="A21" s="204">
        <v>4.3</v>
      </c>
    </row>
    <row r="22" ht="15.75" customHeight="1">
      <c r="A22" s="204">
        <v>4.4</v>
      </c>
    </row>
    <row r="23" ht="15.75" customHeight="1">
      <c r="A23" s="204">
        <v>5.1</v>
      </c>
    </row>
    <row r="24" ht="15.75" customHeight="1">
      <c r="A24" s="204">
        <v>5.2</v>
      </c>
    </row>
    <row r="25" ht="15.75" customHeight="1">
      <c r="A25" s="204">
        <v>5.3</v>
      </c>
    </row>
    <row r="26" ht="15.75" customHeight="1">
      <c r="A26" s="204">
        <v>5.4</v>
      </c>
    </row>
    <row r="27" ht="15.75" customHeight="1">
      <c r="A27" s="204">
        <v>5.5</v>
      </c>
    </row>
    <row r="28" ht="15.75" customHeight="1">
      <c r="A28" s="204">
        <v>5.6</v>
      </c>
    </row>
    <row r="29" ht="15.75" customHeight="1">
      <c r="A29" s="204">
        <v>5.7</v>
      </c>
    </row>
    <row r="30" ht="15.75" customHeight="1">
      <c r="A30" s="204">
        <v>5.8</v>
      </c>
    </row>
    <row r="31" ht="15.75" customHeight="1">
      <c r="A31" s="204">
        <v>6.1</v>
      </c>
    </row>
    <row r="32" ht="15.75" customHeight="1">
      <c r="A32" s="204">
        <v>6.2</v>
      </c>
    </row>
    <row r="33" ht="15.75" customHeight="1">
      <c r="A33" s="204">
        <v>6.3</v>
      </c>
    </row>
    <row r="34" ht="15.75" customHeight="1">
      <c r="A34" s="204">
        <v>6.4</v>
      </c>
    </row>
    <row r="35" ht="15.75" customHeight="1">
      <c r="A35" s="204">
        <v>6.5</v>
      </c>
    </row>
    <row r="36" ht="15.75" customHeight="1">
      <c r="A36" s="204">
        <v>6.6</v>
      </c>
    </row>
    <row r="37" ht="15.75" customHeight="1">
      <c r="A37" s="204">
        <v>7.1</v>
      </c>
    </row>
    <row r="38" ht="15.75" customHeight="1">
      <c r="A38" s="204">
        <v>7.2</v>
      </c>
    </row>
    <row r="39" ht="15.75" customHeight="1">
      <c r="A39" s="204">
        <v>7.3</v>
      </c>
    </row>
    <row r="40" ht="15.75" customHeight="1">
      <c r="A40" s="204">
        <v>7.4</v>
      </c>
    </row>
    <row r="41" ht="15.75" customHeight="1">
      <c r="A41" s="204">
        <v>7.5</v>
      </c>
    </row>
    <row r="42" ht="15.75" customHeight="1">
      <c r="A42" s="204">
        <v>7.6</v>
      </c>
    </row>
    <row r="43" ht="15.75" customHeight="1">
      <c r="A43" s="204">
        <v>7.7</v>
      </c>
    </row>
    <row r="44" ht="15.75" customHeight="1">
      <c r="A44" s="204">
        <v>7.8</v>
      </c>
    </row>
    <row r="45" ht="15.75" customHeight="1">
      <c r="A45" s="204">
        <v>7.9</v>
      </c>
    </row>
    <row r="46" ht="15.75" customHeight="1">
      <c r="A46" s="205">
        <v>7.1</v>
      </c>
    </row>
    <row r="47" ht="15.75" customHeight="1">
      <c r="A47" s="204">
        <v>8.1</v>
      </c>
    </row>
    <row r="48" ht="15.75" customHeight="1">
      <c r="A48" s="204">
        <v>8.2</v>
      </c>
    </row>
    <row r="49" ht="15.75" customHeight="1">
      <c r="A49" s="204">
        <v>8.3</v>
      </c>
    </row>
    <row r="50" ht="15.75" customHeight="1">
      <c r="A50" s="204">
        <v>8.4</v>
      </c>
    </row>
    <row r="51" ht="15.75" customHeight="1">
      <c r="A51" s="204">
        <v>8.5</v>
      </c>
    </row>
    <row r="52" ht="15.75" customHeight="1">
      <c r="A52" s="204">
        <v>8.6</v>
      </c>
    </row>
    <row r="53" ht="15.75" customHeight="1">
      <c r="A53" s="204">
        <v>9.1</v>
      </c>
    </row>
    <row r="54" ht="15.75" customHeight="1">
      <c r="A54" s="204">
        <v>9.2</v>
      </c>
    </row>
    <row r="55" ht="15.75" customHeight="1">
      <c r="A55" s="204">
        <v>9.3</v>
      </c>
    </row>
    <row r="56" ht="15.75" customHeight="1">
      <c r="A56" s="204">
        <v>9.4</v>
      </c>
    </row>
    <row r="57" ht="15.75" customHeight="1">
      <c r="A57" s="204">
        <v>9.5</v>
      </c>
    </row>
    <row r="58" ht="15.75" customHeight="1">
      <c r="A58" s="204">
        <v>9.60000000000001</v>
      </c>
    </row>
    <row r="59" ht="15.75" customHeight="1">
      <c r="A59" s="204">
        <v>10.1</v>
      </c>
    </row>
    <row r="60" ht="15.75" customHeight="1">
      <c r="A60" s="204">
        <v>10.2</v>
      </c>
    </row>
    <row r="61" ht="15.75" customHeight="1">
      <c r="A61" s="204">
        <v>10.3</v>
      </c>
    </row>
    <row r="62" ht="15.75" customHeight="1">
      <c r="A62" s="204">
        <v>10.4</v>
      </c>
    </row>
    <row r="63" ht="15.75" customHeight="1">
      <c r="A63" s="204">
        <v>11.1</v>
      </c>
    </row>
    <row r="64" ht="15.75" customHeight="1">
      <c r="A64" s="204">
        <v>11.2</v>
      </c>
    </row>
    <row r="65" ht="15.75" customHeight="1">
      <c r="A65" s="204">
        <v>11.3</v>
      </c>
    </row>
    <row r="66" ht="15.75" customHeight="1">
      <c r="A66" s="204">
        <v>11.4</v>
      </c>
    </row>
    <row r="67" ht="15.75" customHeight="1">
      <c r="A67" s="204">
        <v>11.5</v>
      </c>
    </row>
    <row r="68" ht="15.75" customHeight="1">
      <c r="A68" s="204">
        <v>11.6</v>
      </c>
    </row>
    <row r="69" ht="15.75" customHeight="1">
      <c r="A69" s="204">
        <v>11.7</v>
      </c>
    </row>
    <row r="70" ht="15.75" customHeight="1">
      <c r="A70" s="204">
        <v>12.1</v>
      </c>
    </row>
    <row r="71" ht="15.75" customHeight="1">
      <c r="A71" s="204">
        <v>12.2</v>
      </c>
    </row>
    <row r="72" ht="15.75" customHeight="1">
      <c r="A72" s="204">
        <v>12.3</v>
      </c>
    </row>
    <row r="73" ht="15.75" customHeight="1">
      <c r="A73" s="204">
        <v>12.4</v>
      </c>
    </row>
    <row r="74" ht="15.75" customHeight="1">
      <c r="A74" s="204">
        <v>12.5</v>
      </c>
    </row>
    <row r="75" ht="15.75" customHeight="1">
      <c r="A75" s="204">
        <v>12.6</v>
      </c>
    </row>
    <row r="76" ht="15.75" customHeight="1">
      <c r="A76" s="204">
        <v>12.7</v>
      </c>
    </row>
    <row r="77" ht="15.75" customHeight="1">
      <c r="A77" s="204">
        <v>12.8</v>
      </c>
    </row>
    <row r="78" ht="15.75" customHeight="1">
      <c r="A78" s="204">
        <v>13.1</v>
      </c>
    </row>
    <row r="79" ht="15.75" customHeight="1">
      <c r="A79" s="204">
        <v>13.2</v>
      </c>
    </row>
    <row r="80" ht="15.75" customHeight="1">
      <c r="A80" s="204">
        <v>14.1</v>
      </c>
    </row>
    <row r="81" ht="15.75" customHeight="1">
      <c r="A81" s="204">
        <v>14.2</v>
      </c>
    </row>
    <row r="82" ht="15.75" customHeight="1">
      <c r="A82" s="204">
        <v>14.3</v>
      </c>
    </row>
    <row r="83" ht="15.75" customHeight="1">
      <c r="A83" s="204">
        <v>14.4</v>
      </c>
    </row>
    <row r="84" ht="15.75" customHeight="1">
      <c r="A84" s="204">
        <v>15.1</v>
      </c>
    </row>
    <row r="85" ht="15.75" customHeight="1">
      <c r="A85" s="204">
        <v>15.2</v>
      </c>
    </row>
    <row r="86" ht="15.75" customHeight="1">
      <c r="A86" s="204">
        <v>15.3</v>
      </c>
    </row>
    <row r="87" ht="15.75" customHeight="1">
      <c r="A87" s="204">
        <v>15.4</v>
      </c>
    </row>
    <row r="88" ht="15.75" customHeight="1">
      <c r="A88" s="204">
        <v>15.5</v>
      </c>
    </row>
    <row r="89" ht="15.75" customHeight="1">
      <c r="A89" s="204">
        <v>15.6</v>
      </c>
    </row>
    <row r="90" ht="15.75" customHeight="1">
      <c r="A90" s="204">
        <v>15.7</v>
      </c>
    </row>
    <row r="91" ht="15.75" customHeight="1">
      <c r="A91" s="204">
        <v>16.1</v>
      </c>
    </row>
    <row r="92" ht="15.75" customHeight="1">
      <c r="A92" s="204">
        <v>16.2</v>
      </c>
    </row>
    <row r="93" ht="15.75" customHeight="1">
      <c r="A93" s="204">
        <v>16.3</v>
      </c>
    </row>
    <row r="94" ht="15.75" customHeight="1">
      <c r="A94" s="204">
        <v>16.4</v>
      </c>
    </row>
    <row r="95" ht="15.75" customHeight="1">
      <c r="A95" s="204">
        <v>16.5</v>
      </c>
    </row>
    <row r="96" ht="15.75" customHeight="1">
      <c r="A96" s="204">
        <v>16.6</v>
      </c>
    </row>
    <row r="97" ht="15.75" customHeight="1">
      <c r="A97" s="204">
        <v>16.7</v>
      </c>
    </row>
    <row r="98" ht="15.75" customHeight="1">
      <c r="A98" s="204">
        <v>16.8</v>
      </c>
    </row>
    <row r="99" ht="15.75" customHeight="1">
      <c r="A99" s="204">
        <v>16.9</v>
      </c>
    </row>
    <row r="100" ht="15.75" customHeight="1">
      <c r="A100" s="205">
        <v>16.1</v>
      </c>
    </row>
    <row r="101" ht="15.75" customHeight="1">
      <c r="A101" s="205">
        <v>16.11</v>
      </c>
    </row>
    <row r="102" ht="15.75" customHeight="1">
      <c r="A102" s="204">
        <v>17.2</v>
      </c>
    </row>
    <row r="103" ht="15.75" customHeight="1">
      <c r="A103" s="204">
        <v>17.3</v>
      </c>
    </row>
    <row r="104" ht="15.75" customHeight="1">
      <c r="A104" s="204">
        <v>17.4</v>
      </c>
    </row>
    <row r="105" ht="15.75" customHeight="1">
      <c r="A105" s="204">
        <v>17.5</v>
      </c>
    </row>
    <row r="106" ht="15.75" customHeight="1">
      <c r="A106" s="204">
        <v>17.6</v>
      </c>
    </row>
    <row r="107" ht="15.75" customHeight="1">
      <c r="A107" s="204">
        <v>17.7</v>
      </c>
    </row>
    <row r="108" ht="15.75" customHeight="1">
      <c r="A108" s="204">
        <v>17.8</v>
      </c>
    </row>
    <row r="109" ht="15.75" customHeight="1">
      <c r="A109" s="204">
        <v>17.9</v>
      </c>
    </row>
    <row r="110" ht="15.75" customHeight="1">
      <c r="A110" s="206" t="s">
        <v>469</v>
      </c>
    </row>
    <row r="111" ht="15.75" customHeight="1">
      <c r="A111" s="204">
        <v>18.1</v>
      </c>
    </row>
    <row r="112" ht="15.75" customHeight="1">
      <c r="A112" s="204">
        <v>18.3</v>
      </c>
    </row>
    <row r="113" ht="15.75" customHeight="1">
      <c r="A113" s="204">
        <v>18.4</v>
      </c>
    </row>
    <row r="114" ht="15.75" customHeight="1">
      <c r="A114" s="204">
        <v>19.1</v>
      </c>
    </row>
    <row r="115" ht="15.75" customHeight="1">
      <c r="A115" s="204">
        <v>19.2</v>
      </c>
    </row>
    <row r="116" ht="15.75" customHeight="1">
      <c r="A116" s="204">
        <v>19.4</v>
      </c>
    </row>
    <row r="117" ht="15.75" customHeight="1">
      <c r="A117" s="204">
        <v>19.5</v>
      </c>
    </row>
    <row r="118" ht="15.75" customHeight="1">
      <c r="A118" s="204">
        <v>19.6</v>
      </c>
    </row>
    <row r="119" ht="15.75" customHeight="1">
      <c r="A119" s="204">
        <v>19.7</v>
      </c>
    </row>
    <row r="120" ht="15.75" customHeight="1">
      <c r="A120" s="204">
        <v>19.8</v>
      </c>
    </row>
    <row r="121" ht="15.75" customHeight="1">
      <c r="A121" s="204">
        <v>19.9</v>
      </c>
    </row>
    <row r="122" ht="15.75" customHeight="1">
      <c r="A122" s="205">
        <v>19.1</v>
      </c>
    </row>
    <row r="123" ht="15.75" customHeight="1">
      <c r="A123" s="204">
        <v>20.1</v>
      </c>
    </row>
    <row r="124" ht="15.75" customHeight="1">
      <c r="A124" s="204">
        <v>20.2</v>
      </c>
    </row>
    <row r="125" ht="15.75" customHeight="1">
      <c r="A125" s="204">
        <v>20.3</v>
      </c>
    </row>
    <row r="126" ht="15.75" customHeight="1">
      <c r="A126" s="204">
        <v>21.1</v>
      </c>
    </row>
    <row r="127" ht="15.75" customHeight="1">
      <c r="A127" s="204">
        <v>21.2</v>
      </c>
    </row>
    <row r="128" ht="15.75" customHeight="1">
      <c r="A128" s="204">
        <v>21.3</v>
      </c>
    </row>
    <row r="129" ht="15.75" customHeight="1">
      <c r="A129" s="204">
        <v>22.1</v>
      </c>
    </row>
    <row r="130" ht="15.75" customHeight="1">
      <c r="A130" s="204">
        <v>22.2</v>
      </c>
    </row>
    <row r="131" ht="15.75" customHeight="1">
      <c r="A131" s="204">
        <v>22.3</v>
      </c>
    </row>
    <row r="132" ht="15.75" customHeight="1">
      <c r="A132" s="204">
        <v>22.4</v>
      </c>
    </row>
    <row r="133" ht="15.75" customHeight="1">
      <c r="A133" s="204">
        <v>22.5</v>
      </c>
    </row>
    <row r="134" ht="15.75" customHeight="1">
      <c r="A134" s="204">
        <v>22.6</v>
      </c>
    </row>
    <row r="135" ht="15.75" customHeight="1">
      <c r="A135" s="204">
        <v>22.7</v>
      </c>
    </row>
    <row r="136" ht="15.75" customHeight="1">
      <c r="A136" s="204">
        <v>22.8</v>
      </c>
    </row>
    <row r="137" ht="15.75" customHeight="1">
      <c r="A137" s="204">
        <v>22.9</v>
      </c>
    </row>
    <row r="138" ht="15.75" customHeight="1">
      <c r="A138" s="206" t="s">
        <v>470</v>
      </c>
    </row>
    <row r="139" ht="15.75" customHeight="1">
      <c r="A139" s="206" t="s">
        <v>471</v>
      </c>
    </row>
    <row r="140" ht="15.75" customHeight="1">
      <c r="A140" s="204">
        <v>23.1</v>
      </c>
    </row>
    <row r="141" ht="15.75" customHeight="1">
      <c r="A141" s="204">
        <v>23.2</v>
      </c>
    </row>
    <row r="142" ht="15.75" customHeight="1">
      <c r="A142" s="204">
        <v>23.3</v>
      </c>
    </row>
    <row r="143" ht="15.75" customHeight="1">
      <c r="A143" s="204">
        <v>23.4</v>
      </c>
    </row>
    <row r="144" ht="15.75" customHeight="1">
      <c r="A144" s="204">
        <v>23.5</v>
      </c>
    </row>
    <row r="145" ht="15.75" customHeight="1">
      <c r="A145" s="204">
        <v>23.6</v>
      </c>
    </row>
    <row r="146" ht="15.75" customHeight="1">
      <c r="A146" s="204">
        <v>23.7</v>
      </c>
    </row>
    <row r="147" ht="15.75" customHeight="1">
      <c r="A147" s="204">
        <v>23.8</v>
      </c>
    </row>
    <row r="148" ht="15.75" customHeight="1">
      <c r="A148" s="204">
        <v>23.9</v>
      </c>
    </row>
    <row r="149" ht="15.75" customHeight="1">
      <c r="A149" s="205">
        <v>23.1</v>
      </c>
    </row>
    <row r="150" ht="15.75" customHeight="1">
      <c r="A150" s="204">
        <v>23.11</v>
      </c>
    </row>
    <row r="151" ht="15.75" customHeight="1">
      <c r="A151" s="204">
        <v>24.1</v>
      </c>
    </row>
    <row r="152" ht="15.75" customHeight="1">
      <c r="A152" s="204">
        <v>24.2</v>
      </c>
    </row>
    <row r="153" ht="15.75" customHeight="1">
      <c r="A153" s="204">
        <v>24.3</v>
      </c>
    </row>
    <row r="154" ht="15.75" customHeight="1">
      <c r="A154" s="204">
        <v>24.4</v>
      </c>
    </row>
    <row r="155" ht="15.75" customHeight="1">
      <c r="A155" s="204">
        <v>24.5</v>
      </c>
    </row>
    <row r="156" ht="15.75" customHeight="1">
      <c r="A156" s="204">
        <v>24.6</v>
      </c>
    </row>
    <row r="157" ht="15.75" customHeight="1">
      <c r="A157" s="204">
        <v>24.7</v>
      </c>
    </row>
    <row r="158" ht="15.75" customHeight="1">
      <c r="A158" s="204">
        <v>24.8</v>
      </c>
    </row>
    <row r="159" ht="15.75" customHeight="1">
      <c r="A159" s="204">
        <v>25.1</v>
      </c>
    </row>
    <row r="160" ht="15.75" customHeight="1">
      <c r="A160" s="204">
        <v>25.2</v>
      </c>
    </row>
    <row r="161" ht="15.75" customHeight="1">
      <c r="A161" s="204">
        <v>25.3</v>
      </c>
    </row>
    <row r="162" ht="15.75" customHeight="1">
      <c r="A162" s="204">
        <v>25.4</v>
      </c>
    </row>
    <row r="163" ht="15.75" customHeight="1">
      <c r="A163" s="204">
        <v>25.5</v>
      </c>
    </row>
    <row r="164" ht="15.75" customHeight="1">
      <c r="A164" s="204">
        <v>25.6</v>
      </c>
    </row>
    <row r="165" ht="15.75" customHeight="1">
      <c r="A165" s="204">
        <v>25.7</v>
      </c>
    </row>
    <row r="166" ht="15.75" customHeight="1">
      <c r="A166" s="204">
        <v>25.8</v>
      </c>
    </row>
    <row r="167" ht="15.75" customHeight="1">
      <c r="A167" s="204">
        <v>25.9</v>
      </c>
    </row>
    <row r="168" ht="15.75" customHeight="1">
      <c r="A168" s="205">
        <v>25.1</v>
      </c>
    </row>
    <row r="169" ht="15.75" customHeight="1">
      <c r="A169" s="204">
        <v>26.1</v>
      </c>
    </row>
    <row r="170" ht="15.75" customHeight="1">
      <c r="A170" s="204">
        <v>26.2</v>
      </c>
    </row>
    <row r="171" ht="15.75" customHeight="1">
      <c r="A171" s="204">
        <v>26.3</v>
      </c>
    </row>
    <row r="172" ht="15.75" customHeight="1">
      <c r="A172" s="204">
        <v>26.4</v>
      </c>
    </row>
    <row r="173" ht="15.75" customHeight="1">
      <c r="A173" s="204">
        <v>26.5</v>
      </c>
    </row>
    <row r="174" ht="15.75" customHeight="1">
      <c r="A174" s="204">
        <v>26.6</v>
      </c>
    </row>
    <row r="175" ht="15.75" customHeight="1">
      <c r="A175" s="204">
        <v>26.7</v>
      </c>
    </row>
    <row r="176" ht="15.75" customHeight="1">
      <c r="A176" s="204">
        <v>26.8</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9.13"/>
    <col customWidth="1" min="2" max="2" width="44.13"/>
    <col customWidth="1" min="3" max="3" width="38.13"/>
    <col customWidth="1" min="4" max="4" width="29.13"/>
    <col customWidth="1" min="5" max="5" width="36.13"/>
    <col customWidth="1" min="6" max="6" width="14.5"/>
  </cols>
  <sheetData>
    <row r="1" ht="15.0" customHeight="1">
      <c r="A1" s="207" t="s">
        <v>359</v>
      </c>
      <c r="B1" s="207" t="s">
        <v>472</v>
      </c>
      <c r="C1" s="207" t="s">
        <v>418</v>
      </c>
      <c r="D1" s="207" t="s">
        <v>473</v>
      </c>
      <c r="E1" s="207" t="s">
        <v>474</v>
      </c>
    </row>
    <row r="2" ht="15.0" customHeight="1">
      <c r="A2" s="208" t="s">
        <v>475</v>
      </c>
      <c r="B2" s="208" t="s">
        <v>476</v>
      </c>
      <c r="D2" s="208" t="s">
        <v>477</v>
      </c>
    </row>
    <row r="3" ht="15.0" customHeight="1">
      <c r="A3" s="208" t="s">
        <v>478</v>
      </c>
      <c r="B3" s="208" t="s">
        <v>476</v>
      </c>
      <c r="D3" s="208" t="s">
        <v>477</v>
      </c>
    </row>
    <row r="4" ht="15.0" customHeight="1">
      <c r="A4" s="208" t="s">
        <v>479</v>
      </c>
      <c r="B4" s="208" t="s">
        <v>479</v>
      </c>
      <c r="D4" s="208" t="s">
        <v>477</v>
      </c>
    </row>
    <row r="5" ht="15.0" customHeight="1">
      <c r="A5" s="208" t="s">
        <v>480</v>
      </c>
      <c r="B5" s="208" t="s">
        <v>481</v>
      </c>
      <c r="C5" s="208" t="s">
        <v>482</v>
      </c>
      <c r="D5" s="208" t="s">
        <v>477</v>
      </c>
    </row>
    <row r="6" ht="15.0" customHeight="1">
      <c r="A6" s="208" t="s">
        <v>483</v>
      </c>
      <c r="B6" s="208" t="s">
        <v>481</v>
      </c>
      <c r="C6" s="208" t="s">
        <v>482</v>
      </c>
      <c r="D6" s="208" t="s">
        <v>477</v>
      </c>
    </row>
    <row r="7" ht="15.0" customHeight="1">
      <c r="A7" s="208" t="s">
        <v>484</v>
      </c>
      <c r="B7" s="208" t="s">
        <v>481</v>
      </c>
      <c r="C7" s="208" t="s">
        <v>482</v>
      </c>
      <c r="D7" s="208" t="s">
        <v>477</v>
      </c>
    </row>
    <row r="8" ht="15.0" customHeight="1">
      <c r="A8" s="208" t="s">
        <v>485</v>
      </c>
      <c r="B8" s="208" t="s">
        <v>481</v>
      </c>
      <c r="C8" s="208" t="s">
        <v>482</v>
      </c>
      <c r="D8" s="208" t="s">
        <v>477</v>
      </c>
    </row>
    <row r="9" ht="15.0" customHeight="1">
      <c r="A9" s="208" t="s">
        <v>486</v>
      </c>
      <c r="B9" s="208" t="s">
        <v>481</v>
      </c>
      <c r="C9" s="208" t="s">
        <v>482</v>
      </c>
      <c r="D9" s="208" t="s">
        <v>477</v>
      </c>
    </row>
    <row r="10" ht="15.0" customHeight="1">
      <c r="A10" s="208" t="s">
        <v>487</v>
      </c>
      <c r="B10" s="208" t="s">
        <v>481</v>
      </c>
      <c r="C10" s="208" t="s">
        <v>482</v>
      </c>
      <c r="D10" s="208" t="s">
        <v>477</v>
      </c>
    </row>
    <row r="11" ht="15.0" customHeight="1">
      <c r="A11" s="208" t="s">
        <v>488</v>
      </c>
      <c r="B11" s="208" t="s">
        <v>481</v>
      </c>
      <c r="C11" s="208" t="s">
        <v>482</v>
      </c>
      <c r="D11" s="208" t="s">
        <v>477</v>
      </c>
    </row>
    <row r="12" ht="15.0" customHeight="1">
      <c r="A12" s="208" t="s">
        <v>489</v>
      </c>
      <c r="B12" s="208" t="s">
        <v>481</v>
      </c>
      <c r="C12" s="208" t="s">
        <v>482</v>
      </c>
      <c r="D12" s="208" t="s">
        <v>477</v>
      </c>
    </row>
    <row r="13" ht="15.0" customHeight="1">
      <c r="A13" s="208" t="s">
        <v>490</v>
      </c>
      <c r="B13" s="208" t="s">
        <v>481</v>
      </c>
      <c r="C13" s="208" t="s">
        <v>482</v>
      </c>
      <c r="D13" s="208" t="s">
        <v>477</v>
      </c>
    </row>
    <row r="14" ht="15.0" customHeight="1">
      <c r="A14" s="208" t="s">
        <v>491</v>
      </c>
      <c r="B14" s="208" t="s">
        <v>481</v>
      </c>
      <c r="C14" s="208" t="s">
        <v>482</v>
      </c>
      <c r="D14" s="208" t="s">
        <v>477</v>
      </c>
    </row>
    <row r="15" ht="15.0" customHeight="1">
      <c r="A15" s="208" t="s">
        <v>492</v>
      </c>
      <c r="B15" s="208" t="s">
        <v>481</v>
      </c>
      <c r="C15" s="208" t="s">
        <v>493</v>
      </c>
      <c r="D15" s="208" t="s">
        <v>477</v>
      </c>
    </row>
    <row r="16" ht="15.0" customHeight="1">
      <c r="A16" s="208" t="s">
        <v>494</v>
      </c>
      <c r="B16" s="208" t="s">
        <v>481</v>
      </c>
      <c r="C16" s="208" t="s">
        <v>493</v>
      </c>
      <c r="D16" s="208" t="s">
        <v>477</v>
      </c>
    </row>
    <row r="17" ht="15.0" customHeight="1">
      <c r="A17" s="208" t="s">
        <v>495</v>
      </c>
      <c r="B17" s="208" t="s">
        <v>481</v>
      </c>
      <c r="C17" s="208" t="s">
        <v>493</v>
      </c>
      <c r="D17" s="208" t="s">
        <v>477</v>
      </c>
    </row>
    <row r="18" ht="15.0" customHeight="1">
      <c r="A18" s="208" t="s">
        <v>496</v>
      </c>
      <c r="B18" s="208" t="s">
        <v>481</v>
      </c>
      <c r="C18" s="208" t="s">
        <v>493</v>
      </c>
      <c r="D18" s="208" t="s">
        <v>477</v>
      </c>
    </row>
    <row r="19" ht="15.0" customHeight="1">
      <c r="A19" s="208" t="s">
        <v>497</v>
      </c>
      <c r="B19" s="208" t="s">
        <v>481</v>
      </c>
      <c r="C19" s="208" t="s">
        <v>493</v>
      </c>
      <c r="D19" s="208" t="s">
        <v>477</v>
      </c>
    </row>
    <row r="20" ht="15.0" customHeight="1">
      <c r="A20" s="208" t="s">
        <v>498</v>
      </c>
      <c r="B20" s="208" t="s">
        <v>481</v>
      </c>
      <c r="C20" s="208" t="s">
        <v>499</v>
      </c>
      <c r="D20" s="208" t="s">
        <v>477</v>
      </c>
    </row>
    <row r="21" ht="15.0" customHeight="1">
      <c r="A21" s="208" t="s">
        <v>500</v>
      </c>
      <c r="B21" s="208" t="s">
        <v>481</v>
      </c>
      <c r="C21" s="208" t="s">
        <v>499</v>
      </c>
      <c r="D21" s="208" t="s">
        <v>477</v>
      </c>
    </row>
    <row r="22" ht="15.75" customHeight="1">
      <c r="A22" s="208" t="s">
        <v>501</v>
      </c>
      <c r="B22" s="208" t="s">
        <v>481</v>
      </c>
      <c r="C22" s="208" t="s">
        <v>499</v>
      </c>
      <c r="D22" s="208" t="s">
        <v>477</v>
      </c>
    </row>
    <row r="23" ht="15.75" customHeight="1">
      <c r="A23" s="208" t="s">
        <v>502</v>
      </c>
      <c r="B23" s="208" t="s">
        <v>481</v>
      </c>
      <c r="C23" s="208" t="s">
        <v>499</v>
      </c>
      <c r="D23" s="208" t="s">
        <v>477</v>
      </c>
    </row>
    <row r="24" ht="15.75" customHeight="1">
      <c r="A24" s="208" t="s">
        <v>503</v>
      </c>
      <c r="B24" s="208" t="s">
        <v>481</v>
      </c>
      <c r="C24" s="208" t="s">
        <v>499</v>
      </c>
      <c r="D24" s="208" t="s">
        <v>477</v>
      </c>
    </row>
    <row r="25" ht="15.75" customHeight="1">
      <c r="A25" s="208" t="s">
        <v>504</v>
      </c>
      <c r="B25" s="208" t="s">
        <v>481</v>
      </c>
      <c r="C25" s="208" t="s">
        <v>499</v>
      </c>
      <c r="D25" s="208" t="s">
        <v>477</v>
      </c>
    </row>
    <row r="26" ht="15.75" customHeight="1">
      <c r="A26" s="208" t="s">
        <v>505</v>
      </c>
      <c r="B26" s="208" t="s">
        <v>481</v>
      </c>
      <c r="C26" s="208" t="s">
        <v>499</v>
      </c>
      <c r="D26" s="208" t="s">
        <v>477</v>
      </c>
    </row>
    <row r="27" ht="15.75" customHeight="1">
      <c r="A27" s="208" t="s">
        <v>487</v>
      </c>
      <c r="B27" s="208" t="s">
        <v>481</v>
      </c>
      <c r="C27" s="208" t="s">
        <v>499</v>
      </c>
      <c r="D27" s="208" t="s">
        <v>477</v>
      </c>
    </row>
    <row r="28" ht="15.75" customHeight="1">
      <c r="A28" s="208" t="s">
        <v>506</v>
      </c>
      <c r="B28" s="208" t="s">
        <v>481</v>
      </c>
      <c r="C28" s="208" t="s">
        <v>499</v>
      </c>
      <c r="D28" s="208" t="s">
        <v>477</v>
      </c>
    </row>
    <row r="29" ht="15.75" customHeight="1">
      <c r="A29" s="208" t="s">
        <v>507</v>
      </c>
      <c r="B29" s="208" t="s">
        <v>481</v>
      </c>
      <c r="C29" s="208" t="s">
        <v>499</v>
      </c>
      <c r="D29" s="208" t="s">
        <v>477</v>
      </c>
    </row>
    <row r="30" ht="15.75" customHeight="1">
      <c r="A30" s="208" t="s">
        <v>508</v>
      </c>
      <c r="B30" s="208" t="s">
        <v>481</v>
      </c>
      <c r="C30" s="208" t="s">
        <v>499</v>
      </c>
      <c r="D30" s="208" t="s">
        <v>477</v>
      </c>
    </row>
    <row r="31" ht="15.75" customHeight="1">
      <c r="A31" s="208" t="s">
        <v>509</v>
      </c>
      <c r="B31" s="208" t="s">
        <v>481</v>
      </c>
      <c r="C31" s="208" t="s">
        <v>510</v>
      </c>
      <c r="D31" s="208" t="s">
        <v>477</v>
      </c>
    </row>
    <row r="32" ht="15.75" customHeight="1">
      <c r="A32" s="208" t="s">
        <v>511</v>
      </c>
      <c r="B32" s="208" t="s">
        <v>481</v>
      </c>
      <c r="C32" s="208" t="s">
        <v>510</v>
      </c>
      <c r="D32" s="208" t="s">
        <v>477</v>
      </c>
    </row>
    <row r="33" ht="15.75" customHeight="1">
      <c r="A33" s="208" t="s">
        <v>512</v>
      </c>
      <c r="B33" s="208" t="s">
        <v>481</v>
      </c>
      <c r="C33" s="208" t="s">
        <v>510</v>
      </c>
      <c r="D33" s="208" t="s">
        <v>477</v>
      </c>
    </row>
    <row r="34" ht="15.75" customHeight="1">
      <c r="A34" s="208" t="s">
        <v>513</v>
      </c>
      <c r="B34" s="208" t="s">
        <v>481</v>
      </c>
      <c r="C34" s="208" t="s">
        <v>510</v>
      </c>
      <c r="D34" s="208" t="s">
        <v>477</v>
      </c>
    </row>
    <row r="35" ht="15.75" customHeight="1">
      <c r="A35" s="208" t="s">
        <v>514</v>
      </c>
      <c r="B35" s="208" t="s">
        <v>481</v>
      </c>
      <c r="C35" s="208" t="s">
        <v>510</v>
      </c>
      <c r="D35" s="208" t="s">
        <v>477</v>
      </c>
    </row>
    <row r="36" ht="15.75" customHeight="1">
      <c r="A36" s="208" t="s">
        <v>515</v>
      </c>
      <c r="B36" s="208" t="s">
        <v>481</v>
      </c>
      <c r="C36" s="208" t="s">
        <v>510</v>
      </c>
      <c r="D36" s="208" t="s">
        <v>477</v>
      </c>
    </row>
    <row r="37" ht="15.75" customHeight="1">
      <c r="A37" s="208" t="s">
        <v>516</v>
      </c>
      <c r="B37" s="208" t="s">
        <v>481</v>
      </c>
      <c r="C37" s="208" t="s">
        <v>517</v>
      </c>
      <c r="D37" s="208" t="s">
        <v>477</v>
      </c>
    </row>
    <row r="38" ht="15.75" customHeight="1">
      <c r="A38" s="208" t="s">
        <v>518</v>
      </c>
      <c r="B38" s="208" t="s">
        <v>481</v>
      </c>
      <c r="C38" s="208" t="s">
        <v>517</v>
      </c>
      <c r="D38" s="208" t="s">
        <v>477</v>
      </c>
    </row>
    <row r="39" ht="15.75" customHeight="1">
      <c r="A39" s="208" t="s">
        <v>519</v>
      </c>
      <c r="B39" s="208" t="s">
        <v>481</v>
      </c>
      <c r="C39" s="208" t="s">
        <v>517</v>
      </c>
      <c r="D39" s="208" t="s">
        <v>477</v>
      </c>
    </row>
    <row r="40" ht="15.75" customHeight="1">
      <c r="A40" s="208" t="s">
        <v>520</v>
      </c>
      <c r="B40" s="208" t="s">
        <v>481</v>
      </c>
      <c r="C40" s="208" t="s">
        <v>517</v>
      </c>
      <c r="D40" s="208" t="s">
        <v>477</v>
      </c>
    </row>
    <row r="41" ht="15.75" customHeight="1">
      <c r="A41" s="208" t="s">
        <v>521</v>
      </c>
      <c r="B41" s="208" t="s">
        <v>481</v>
      </c>
      <c r="C41" s="208" t="s">
        <v>517</v>
      </c>
      <c r="D41" s="208" t="s">
        <v>477</v>
      </c>
    </row>
    <row r="42" ht="15.75" customHeight="1">
      <c r="A42" s="208" t="s">
        <v>522</v>
      </c>
      <c r="B42" s="208" t="s">
        <v>481</v>
      </c>
      <c r="C42" s="208" t="s">
        <v>517</v>
      </c>
      <c r="D42" s="208" t="s">
        <v>477</v>
      </c>
    </row>
    <row r="43" ht="15.75" customHeight="1">
      <c r="A43" s="208" t="s">
        <v>523</v>
      </c>
      <c r="B43" s="208" t="s">
        <v>481</v>
      </c>
      <c r="C43" s="208" t="s">
        <v>517</v>
      </c>
      <c r="D43" s="208" t="s">
        <v>477</v>
      </c>
    </row>
    <row r="44" ht="15.75" customHeight="1">
      <c r="A44" s="208" t="s">
        <v>524</v>
      </c>
      <c r="B44" s="208" t="s">
        <v>481</v>
      </c>
      <c r="C44" s="208" t="s">
        <v>525</v>
      </c>
      <c r="D44" s="208" t="s">
        <v>477</v>
      </c>
    </row>
    <row r="45" ht="15.75" customHeight="1">
      <c r="A45" s="208" t="s">
        <v>526</v>
      </c>
      <c r="B45" s="208" t="s">
        <v>481</v>
      </c>
      <c r="C45" s="208" t="s">
        <v>525</v>
      </c>
      <c r="D45" s="208" t="s">
        <v>477</v>
      </c>
    </row>
    <row r="46" ht="15.75" customHeight="1">
      <c r="A46" s="208" t="s">
        <v>527</v>
      </c>
      <c r="B46" s="208" t="s">
        <v>481</v>
      </c>
      <c r="C46" s="208" t="s">
        <v>525</v>
      </c>
      <c r="D46" s="208" t="s">
        <v>477</v>
      </c>
    </row>
    <row r="47" ht="15.75" customHeight="1">
      <c r="A47" s="208" t="s">
        <v>528</v>
      </c>
      <c r="B47" s="208" t="s">
        <v>481</v>
      </c>
      <c r="C47" s="208" t="s">
        <v>525</v>
      </c>
      <c r="D47" s="208" t="s">
        <v>477</v>
      </c>
    </row>
    <row r="48" ht="15.75" customHeight="1">
      <c r="A48" s="208" t="s">
        <v>529</v>
      </c>
      <c r="B48" s="208" t="s">
        <v>481</v>
      </c>
      <c r="C48" s="208" t="s">
        <v>525</v>
      </c>
      <c r="D48" s="208" t="s">
        <v>477</v>
      </c>
    </row>
    <row r="49" ht="15.75" customHeight="1">
      <c r="A49" s="208" t="s">
        <v>530</v>
      </c>
      <c r="B49" s="208" t="s">
        <v>481</v>
      </c>
      <c r="C49" s="208" t="s">
        <v>525</v>
      </c>
      <c r="D49" s="208" t="s">
        <v>477</v>
      </c>
    </row>
    <row r="50" ht="15.75" customHeight="1">
      <c r="A50" s="208" t="s">
        <v>531</v>
      </c>
      <c r="B50" s="208" t="s">
        <v>481</v>
      </c>
      <c r="C50" s="208" t="s">
        <v>525</v>
      </c>
      <c r="D50" s="208" t="s">
        <v>477</v>
      </c>
    </row>
    <row r="51" ht="15.75" customHeight="1">
      <c r="A51" s="208" t="s">
        <v>532</v>
      </c>
      <c r="B51" s="208" t="s">
        <v>175</v>
      </c>
      <c r="D51" s="208" t="s">
        <v>477</v>
      </c>
    </row>
    <row r="52" ht="15.75" customHeight="1">
      <c r="A52" s="208" t="s">
        <v>533</v>
      </c>
      <c r="B52" s="208" t="s">
        <v>175</v>
      </c>
      <c r="D52" s="208" t="s">
        <v>477</v>
      </c>
    </row>
    <row r="53" ht="15.75" customHeight="1">
      <c r="A53" s="208" t="s">
        <v>534</v>
      </c>
      <c r="B53" s="208" t="s">
        <v>289</v>
      </c>
      <c r="D53" s="208" t="s">
        <v>477</v>
      </c>
    </row>
    <row r="54" ht="15.75" customHeight="1">
      <c r="A54" s="208" t="s">
        <v>535</v>
      </c>
      <c r="B54" s="208" t="s">
        <v>289</v>
      </c>
      <c r="D54" s="208" t="s">
        <v>477</v>
      </c>
    </row>
    <row r="55" ht="15.75" customHeight="1">
      <c r="A55" s="208" t="s">
        <v>536</v>
      </c>
      <c r="B55" s="208" t="s">
        <v>537</v>
      </c>
      <c r="D55" s="208" t="s">
        <v>477</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